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piek/Desktop/DFN-final/OpenDutchFrameNetLexicon/"/>
    </mc:Choice>
  </mc:AlternateContent>
  <xr:revisionPtr revIDLastSave="0" documentId="13_ncr:1_{3472457F-4E44-3D4F-989D-1360997BB729}" xr6:coauthVersionLast="47" xr6:coauthVersionMax="47" xr10:uidLastSave="{00000000-0000-0000-0000-000000000000}"/>
  <bookViews>
    <workbookView xWindow="2380" yWindow="1760" windowWidth="28240" windowHeight="17240" activeTab="3" xr2:uid="{DA26D9AA-C628-7245-AC36-110158425BD4}"/>
  </bookViews>
  <sheets>
    <sheet name="Overview" sheetId="4" r:id="rId1"/>
    <sheet name="grounded intersection" sheetId="2" r:id="rId2"/>
    <sheet name="Entity mentions" sheetId="6" r:id="rId3"/>
    <sheet name="Shared Framing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4" i="4" l="1"/>
  <c r="B33" i="4"/>
  <c r="B32" i="4"/>
  <c r="B31" i="4"/>
  <c r="B30" i="4"/>
  <c r="B29" i="4"/>
  <c r="B28" i="4"/>
  <c r="B27" i="4"/>
  <c r="B26" i="4"/>
  <c r="B25" i="4"/>
  <c r="B24" i="4"/>
  <c r="B23" i="4"/>
  <c r="B22" i="4"/>
  <c r="B21" i="4"/>
  <c r="D55" i="6"/>
  <c r="D122" i="6"/>
  <c r="D21" i="6"/>
  <c r="D37" i="6"/>
  <c r="D47" i="6"/>
  <c r="D53" i="6"/>
  <c r="D65" i="6"/>
  <c r="D108" i="6"/>
  <c r="D17" i="6"/>
  <c r="D5" i="6"/>
  <c r="D18" i="6"/>
  <c r="D26" i="6"/>
  <c r="D9" i="6"/>
  <c r="D46" i="6"/>
  <c r="D116" i="6"/>
  <c r="D59" i="6"/>
  <c r="D12" i="6"/>
  <c r="D29" i="6"/>
  <c r="D94" i="6"/>
  <c r="D125" i="6"/>
  <c r="D75" i="6"/>
  <c r="D58" i="6"/>
  <c r="D15" i="6"/>
  <c r="D2" i="6"/>
  <c r="D39" i="6"/>
  <c r="D56" i="6"/>
  <c r="D95" i="6"/>
  <c r="D152" i="6"/>
  <c r="D120" i="6"/>
  <c r="D156" i="6"/>
  <c r="D172" i="6"/>
  <c r="D107" i="6"/>
  <c r="D41" i="6"/>
  <c r="D33" i="6"/>
  <c r="D135" i="6"/>
  <c r="D155" i="6"/>
  <c r="D158" i="6"/>
  <c r="D144" i="6"/>
  <c r="D123" i="6"/>
  <c r="D117" i="6"/>
  <c r="D129" i="6"/>
  <c r="D23" i="6"/>
  <c r="D16" i="6"/>
  <c r="D149" i="6"/>
  <c r="D52" i="6"/>
  <c r="D110" i="6"/>
  <c r="D85" i="6"/>
  <c r="D83" i="6"/>
  <c r="D6" i="6"/>
  <c r="D3" i="6"/>
  <c r="D98" i="6"/>
  <c r="D31" i="6"/>
  <c r="D114" i="6"/>
  <c r="D89" i="6"/>
  <c r="D63" i="6"/>
  <c r="D60" i="6"/>
  <c r="D70" i="6"/>
  <c r="D164" i="6"/>
  <c r="D154" i="6"/>
  <c r="D67" i="6"/>
  <c r="D106" i="6"/>
  <c r="D69" i="6"/>
  <c r="D137" i="6"/>
  <c r="D139" i="6"/>
  <c r="D51" i="6"/>
  <c r="D119" i="6"/>
  <c r="D13" i="6"/>
  <c r="D159" i="6"/>
  <c r="D82" i="6"/>
  <c r="D88" i="6"/>
  <c r="D64" i="6"/>
  <c r="D49" i="6"/>
  <c r="D148" i="6"/>
  <c r="D99" i="6"/>
  <c r="D10" i="6"/>
  <c r="D4" i="6"/>
  <c r="D91" i="6"/>
  <c r="D54" i="6"/>
  <c r="D50" i="6"/>
  <c r="D143" i="6"/>
  <c r="D90" i="6"/>
  <c r="D134" i="6"/>
  <c r="D38" i="6"/>
  <c r="D121" i="6"/>
  <c r="D44" i="6"/>
  <c r="D43" i="6"/>
  <c r="D27" i="6"/>
  <c r="D147" i="6"/>
  <c r="D166" i="6"/>
  <c r="D138" i="6"/>
  <c r="D150" i="6"/>
  <c r="D165" i="6"/>
  <c r="D61" i="6"/>
  <c r="D25" i="6"/>
  <c r="D126" i="6"/>
  <c r="D22" i="6"/>
  <c r="D168" i="6"/>
  <c r="D115" i="6"/>
  <c r="D163" i="6"/>
  <c r="D62" i="6"/>
  <c r="D170" i="6"/>
  <c r="D113" i="6"/>
  <c r="D36" i="6"/>
  <c r="D78" i="6"/>
  <c r="D42" i="6"/>
  <c r="D77" i="6"/>
  <c r="D132" i="6"/>
  <c r="D32" i="6"/>
  <c r="D162" i="6"/>
  <c r="D40" i="6"/>
  <c r="D104" i="6"/>
  <c r="D30" i="6"/>
  <c r="D136" i="6"/>
  <c r="D66" i="6"/>
  <c r="D142" i="6"/>
  <c r="D171" i="6"/>
  <c r="D101" i="6"/>
  <c r="D124" i="6"/>
  <c r="D20" i="6"/>
  <c r="D35" i="6"/>
  <c r="D128" i="6"/>
  <c r="D97" i="6"/>
  <c r="D87" i="6"/>
  <c r="D140" i="6"/>
  <c r="D14" i="6"/>
  <c r="D141" i="6"/>
  <c r="D24" i="6"/>
  <c r="D102" i="6"/>
  <c r="D146" i="6"/>
  <c r="D112" i="6"/>
  <c r="D8" i="6"/>
  <c r="D109" i="6"/>
  <c r="D73" i="6"/>
  <c r="D34" i="6"/>
  <c r="D81" i="6"/>
  <c r="D84" i="6"/>
  <c r="D74" i="6"/>
  <c r="D131" i="6"/>
  <c r="D93" i="6"/>
  <c r="D72" i="6"/>
  <c r="D45" i="6"/>
  <c r="D103" i="6"/>
  <c r="D68" i="6"/>
  <c r="D80" i="6"/>
  <c r="D11" i="6"/>
  <c r="D19" i="6"/>
  <c r="D151" i="6"/>
  <c r="D160" i="6"/>
  <c r="D100" i="6"/>
  <c r="D118" i="6"/>
  <c r="D127" i="6"/>
  <c r="D161" i="6"/>
  <c r="D48" i="6"/>
  <c r="D28" i="6"/>
  <c r="D133" i="6"/>
  <c r="D153" i="6"/>
  <c r="D76" i="6"/>
  <c r="D7" i="6"/>
  <c r="D71" i="6"/>
  <c r="D92" i="6"/>
  <c r="D79" i="6"/>
  <c r="D169" i="6"/>
  <c r="D105" i="6"/>
  <c r="D57" i="6"/>
  <c r="D167" i="6"/>
  <c r="D145" i="6"/>
  <c r="D157" i="6"/>
  <c r="D130" i="6"/>
  <c r="D111" i="6"/>
  <c r="D96" i="6"/>
  <c r="D86" i="6"/>
</calcChain>
</file>

<file path=xl/sharedStrings.xml><?xml version="1.0" encoding="utf-8"?>
<sst xmlns="http://schemas.openxmlformats.org/spreadsheetml/2006/main" count="815" uniqueCount="510">
  <si>
    <t>nl_reference_lexicon.json</t>
  </si>
  <si>
    <t>en_reference_lexicon.json</t>
  </si>
  <si>
    <t>Intersection</t>
  </si>
  <si>
    <t>http://www.wikidata.org/entity/Q184</t>
  </si>
  <si>
    <t>http://www.wikidata.org/entity/Q1632409367599</t>
  </si>
  <si>
    <t>http://www.wikidata.org/entity/Q62116513</t>
  </si>
  <si>
    <t>http://www.wikidata.org/entity/Q281959</t>
  </si>
  <si>
    <t>http://www.wikidata.org/entity/Q1631864271612</t>
  </si>
  <si>
    <t>http://www.wikidata.org/entity/Q28112642</t>
  </si>
  <si>
    <t>http://www.wikidata.org/entity/Q948</t>
  </si>
  <si>
    <t>http://www.wikidata.org/entity/Q252</t>
  </si>
  <si>
    <t>http://www.wikidata.org/entity/Q4075956</t>
  </si>
  <si>
    <t>http://www.wikidata.org/entity/Q21203</t>
  </si>
  <si>
    <t>http://www.wikidata.org/entity/Q1646237450270</t>
  </si>
  <si>
    <t>http://www.wikidata.org/entity/Q664</t>
  </si>
  <si>
    <t>http://www.wikidata.org/entity/Q819</t>
  </si>
  <si>
    <t>http://www.wikidata.org/entity/Q1631296407914</t>
  </si>
  <si>
    <t>http://www.wikidata.org/entity/Q1712921250243</t>
  </si>
  <si>
    <t>http://www.wikidata.org/entity/Q1637127644242</t>
  </si>
  <si>
    <t>http://www.wikidata.org/entity/Q181912</t>
  </si>
  <si>
    <t>http://www.wikidata.org/entity/Q106366730</t>
  </si>
  <si>
    <t>http://www.wikidata.org/entity/Q1631864085791</t>
  </si>
  <si>
    <t>http://www.wikidata.org/entity/Q145</t>
  </si>
  <si>
    <t>http://www.wikidata.org/entity/Q1637127680472</t>
  </si>
  <si>
    <t>http://www.wikidata.org/entity/Q473893</t>
  </si>
  <si>
    <t>http://www.wikidata.org/entity/Q34</t>
  </si>
  <si>
    <t>http://www.wikidata.org/entity/Q730</t>
  </si>
  <si>
    <t>http://www.wikidata.org/entity/Q349041</t>
  </si>
  <si>
    <t>http://www.wikidata.org/entity/Q57728347</t>
  </si>
  <si>
    <t>http://www.wikidata.org/entity/Q334</t>
  </si>
  <si>
    <t>http://www.wikidata.org/entity/Q1653816689269</t>
  </si>
  <si>
    <t>http://www.wikidata.org/entity/Q21516923</t>
  </si>
  <si>
    <t>http://www.wikidata.org/entity/Q2195581</t>
  </si>
  <si>
    <t>http://www.wikidata.org/entity/Q423</t>
  </si>
  <si>
    <t>http://www.wikidata.org/entity/Q739</t>
  </si>
  <si>
    <t>http://www.wikidata.org/entity/Q1674906609843</t>
  </si>
  <si>
    <t>http://www.wikidata.org/entity/Q1646835057489</t>
  </si>
  <si>
    <t>http://www.wikidata.org/entity/Q38</t>
  </si>
  <si>
    <t>http://www.wikidata.org/entity/Q36</t>
  </si>
  <si>
    <t>http://www.wikidata.org/entity/Q7747</t>
  </si>
  <si>
    <t>http://www.wikidata.org/entity/Q235</t>
  </si>
  <si>
    <t>http://www.wikidata.org/entity/Q91722931</t>
  </si>
  <si>
    <t>http://www.wikidata.org/entity/Q881</t>
  </si>
  <si>
    <t>http://www.wikidata.org/entity/Q1673010005817</t>
  </si>
  <si>
    <t>http://www.wikidata.org/entity/Q22938621</t>
  </si>
  <si>
    <t>http://www.wikidata.org/entity/Q1637127625151</t>
  </si>
  <si>
    <t>undefined</t>
  </si>
  <si>
    <t>http://www.wikidata.org/entity/Q414</t>
  </si>
  <si>
    <t>http://www.wikidata.org/entity/Q668</t>
  </si>
  <si>
    <t>http://www.wikidata.org/entity/Q46708380</t>
  </si>
  <si>
    <t>http://www.wikidata.org/entity/Q884</t>
  </si>
  <si>
    <t>http://www.wikidata.org/entity/Q467729</t>
  </si>
  <si>
    <t>http://www.wikidata.org/entity/Q794</t>
  </si>
  <si>
    <t>http://www.wikidata.org/entity/Q30973589</t>
  </si>
  <si>
    <t>http://www.wikidata.org/entity/Q801</t>
  </si>
  <si>
    <t>http://www.wikidata.org/entity/Q16525650</t>
  </si>
  <si>
    <t>http://www.wikidata.org/entity/Q1681460265861</t>
  </si>
  <si>
    <t>http://www.wikidata.org/entity/Q122880</t>
  </si>
  <si>
    <t>http://www.wikidata.org/entity/Q34370</t>
  </si>
  <si>
    <t>http://www.wikidata.org/entity/Q16957</t>
  </si>
  <si>
    <t>http://www.wikidata.org/entity/Q2858481</t>
  </si>
  <si>
    <t>http://www.wikidata.org/entity/Q105077032</t>
  </si>
  <si>
    <t>http://www.wikidata.org/entity/Q238</t>
  </si>
  <si>
    <t>http://www.wikidata.org/entity/Q35</t>
  </si>
  <si>
    <t>http://www.wikidata.org/entity/Q1633495626707</t>
  </si>
  <si>
    <t>http://www.wikidata.org/entity/Q319183</t>
  </si>
  <si>
    <t>http://www.wikidata.org/entity/Q25279</t>
  </si>
  <si>
    <t>http://www.wikidata.org/entity/Q727</t>
  </si>
  <si>
    <t>http://www.wikidata.org/entity/Q1686655844390</t>
  </si>
  <si>
    <t>http://www.wikidata.org/entity/Q833</t>
  </si>
  <si>
    <t>http://www.wikidata.org/entity/Q16</t>
  </si>
  <si>
    <t>http://www.wikidata.org/entity/Q869</t>
  </si>
  <si>
    <t>http://www.wikidata.org/entity/Q1631623074608</t>
  </si>
  <si>
    <t>http://www.wikidata.org/entity/Q142</t>
  </si>
  <si>
    <t>http://www.wikidata.org/entity/Q174193</t>
  </si>
  <si>
    <t>http://www.wikidata.org/entity/Q878</t>
  </si>
  <si>
    <t>http://www.wikidata.org/entity/Q17374096</t>
  </si>
  <si>
    <t>http://www.wikidata.org/entity/Q18002773</t>
  </si>
  <si>
    <t>http://www.wikidata.org/entity/Q1636580448374</t>
  </si>
  <si>
    <t>http://www.wikidata.org/entity/Q62090804</t>
  </si>
  <si>
    <t>http://www.wikidata.org/entity/Q2090017</t>
  </si>
  <si>
    <t>http://www.wikidata.org/entity/Q30</t>
  </si>
  <si>
    <t>http://www.wikidata.org/entity/Q37470</t>
  </si>
  <si>
    <t>http://www.wikidata.org/entity/Q1638962685452</t>
  </si>
  <si>
    <t>http://www.wikidata.org/entity/Q219</t>
  </si>
  <si>
    <t>http://www.wikidata.org/entity/Q212</t>
  </si>
  <si>
    <t>http://www.wikidata.org/entity/Q1920305</t>
  </si>
  <si>
    <t>http://www.wikidata.org/entity/Q1651075371225</t>
  </si>
  <si>
    <t>http://www.wikidata.org/entity/Q45</t>
  </si>
  <si>
    <t>http://www.wikidata.org/entity/Q67197819</t>
  </si>
  <si>
    <t>http://www.wikidata.org/entity/Q1651076432581</t>
  </si>
  <si>
    <t>http://www.wikidata.org/entity/Q1646212706669</t>
  </si>
  <si>
    <t>http://www.wikidata.org/entity/Q20</t>
  </si>
  <si>
    <t>http://www.wikidata.org/entity/Q3023616</t>
  </si>
  <si>
    <t>http://www.wikidata.org/entity/Q1146492</t>
  </si>
  <si>
    <t>http://www.wikidata.org/entity/Q2327582</t>
  </si>
  <si>
    <t>http://www.wikidata.org/entity/Q2643494</t>
  </si>
  <si>
    <t>http://www.wikidata.org/entity/Q17</t>
  </si>
  <si>
    <t>http://www.wikidata.org/entity/Q419</t>
  </si>
  <si>
    <t>http://www.wikidata.org/entity/Q766</t>
  </si>
  <si>
    <t>http://www.wikidata.org/entity/Q1677233717403</t>
  </si>
  <si>
    <t>http://www.wikidata.org/entity/Q39</t>
  </si>
  <si>
    <t>http://www.wikidata.org/entity/Q711</t>
  </si>
  <si>
    <t>http://www.wikidata.org/entity/Q183</t>
  </si>
  <si>
    <t>http://www.wikidata.org/entity/Q1650209998806</t>
  </si>
  <si>
    <t>http://www.wikidata.org/entity/Q1651077039558</t>
  </si>
  <si>
    <t>http://www.wikidata.org/entity/Q9934</t>
  </si>
  <si>
    <t>http://www.wikidata.org/entity/Q43</t>
  </si>
  <si>
    <t>http://www.wikidata.org/entity/Q218</t>
  </si>
  <si>
    <t>http://www.wikidata.org/entity/Q224</t>
  </si>
  <si>
    <t>http://www.wikidata.org/entity/Q236</t>
  </si>
  <si>
    <t>http://www.wikidata.org/entity/Q222</t>
  </si>
  <si>
    <t>http://www.wikidata.org/entity/Q1632916239145</t>
  </si>
  <si>
    <t>http://www.wikidata.org/entity/Q308952</t>
  </si>
  <si>
    <t>http://www.wikidata.org/entity/Q258</t>
  </si>
  <si>
    <t>http://www.wikidata.org/entity/Q29999</t>
  </si>
  <si>
    <t>http://www.wikidata.org/entity/Q1309</t>
  </si>
  <si>
    <t>http://www.wikidata.org/entity/Q33946</t>
  </si>
  <si>
    <t>http://www.wikidata.org/entity/Q228</t>
  </si>
  <si>
    <t>http://www.wikidata.org/entity/Q215</t>
  </si>
  <si>
    <t>http://www.wikidata.org/entity/Q921</t>
  </si>
  <si>
    <t>http://www.wikidata.org/entity/Q213</t>
  </si>
  <si>
    <t>http://www.wikidata.org/entity/Q55</t>
  </si>
  <si>
    <t>http://www.wikidata.org/entity/Q865</t>
  </si>
  <si>
    <t>http://www.wikidata.org/entity/Q166400</t>
  </si>
  <si>
    <t>http://www.wikidata.org/entity/Q233262</t>
  </si>
  <si>
    <t>http://www.wikidata.org/entity/Q29</t>
  </si>
  <si>
    <t>http://www.wikidata.org/entity/Q298</t>
  </si>
  <si>
    <t>http://www.wikidata.org/entity/Q28</t>
  </si>
  <si>
    <t>http://www.wikidata.org/entity/Q15821620</t>
  </si>
  <si>
    <t>http://www.wikidata.org/entity/Q1689169851078</t>
  </si>
  <si>
    <t>http://www.wikidata.org/entity/Q1631025548534</t>
  </si>
  <si>
    <t>http://www.wikidata.org/entity/Q232</t>
  </si>
  <si>
    <t>http://www.wikidata.org/entity/Q1709045816046</t>
  </si>
  <si>
    <t>http://www.wikidata.org/entity/Q1650005015668</t>
  </si>
  <si>
    <t>http://www.wikidata.org/entity/Q34266</t>
  </si>
  <si>
    <t>http://www.wikidata.org/entity/Q473866</t>
  </si>
  <si>
    <t>http://www.wikidata.org/entity/Q4310949</t>
  </si>
  <si>
    <t>http://www.wikidata.org/entity/Q15991875</t>
  </si>
  <si>
    <t>http://www.wikidata.org/entity/Q1033</t>
  </si>
  <si>
    <t>http://www.wikidata.org/entity/Q712</t>
  </si>
  <si>
    <t>http://www.wikidata.org/entity/Q57792</t>
  </si>
  <si>
    <t>http://www.wikidata.org/entity/Q1646212736373</t>
  </si>
  <si>
    <t>http://www.wikidata.org/entity/Q15180</t>
  </si>
  <si>
    <t>http://www.wikidata.org/entity/Q1720602541245</t>
  </si>
  <si>
    <t>http://www.wikidata.org/entity/Q1689168342258</t>
  </si>
  <si>
    <t>http://www.wikidata.org/entity/Q217</t>
  </si>
  <si>
    <t>http://www.wikidata.org/entity/Q803</t>
  </si>
  <si>
    <t>http://www.wikidata.org/entity/Q32</t>
  </si>
  <si>
    <t>http://www.wikidata.org/entity/Q60758679</t>
  </si>
  <si>
    <t>http://www.wikidata.org/entity/Q41</t>
  </si>
  <si>
    <t>http://www.wikidata.org/entity/Q1637127655450</t>
  </si>
  <si>
    <t>http://www.wikidata.org/entity/Q31</t>
  </si>
  <si>
    <t>http://www.wikidata.org/entity/Q1708960725608</t>
  </si>
  <si>
    <t>http://www.wikidata.org/entity/Q1030</t>
  </si>
  <si>
    <t>http://www.wikidata.org/entity/Q155</t>
  </si>
  <si>
    <t>http://www.wikidata.org/entity/Q1778984</t>
  </si>
  <si>
    <t>http://www.wikidata.org/entity/Q912</t>
  </si>
  <si>
    <t>http://www.wikidata.org/entity/Q1689167507986</t>
  </si>
  <si>
    <t>http://www.wikidata.org/entity/Q159</t>
  </si>
  <si>
    <t>http://www.wikidata.org/entity/Q40</t>
  </si>
  <si>
    <t>http://www.wikidata.org/entity/Q2555322</t>
  </si>
  <si>
    <t>http://www.wikidata.org/entity/Q34020</t>
  </si>
  <si>
    <t>http://www.wikidata.org/entity/Q1646212171002</t>
  </si>
  <si>
    <t>http://www.wikidata.org/entity/Q2949899</t>
  </si>
  <si>
    <t>http://www.wikidata.org/entity/Q408</t>
  </si>
  <si>
    <t>http://www.wikidata.org/entity/Q1651076227446</t>
  </si>
  <si>
    <t>http://www.wikidata.org/entity/Q846</t>
  </si>
  <si>
    <t>http://www.wikidata.org/entity/Q191</t>
  </si>
  <si>
    <t>http://www.wikidata.org/entity/Q1637139130540</t>
  </si>
  <si>
    <t>http://www.wikidata.org/entity/Q148</t>
  </si>
  <si>
    <t>http://www.wikidata.org/entity/Q2595790</t>
  </si>
  <si>
    <t>http://www.wikidata.org/entity/Q48940439</t>
  </si>
  <si>
    <t>http://www.wikidata.org/entity/Q781401</t>
  </si>
  <si>
    <t>NL MENTIONS</t>
  </si>
  <si>
    <t>EN MENTIONS</t>
  </si>
  <si>
    <t>Nr entities</t>
  </si>
  <si>
    <t>Nr. Of mentions</t>
  </si>
  <si>
    <t>Volodymyr Tsemakh</t>
  </si>
  <si>
    <t>2015 Bamako hotel attack</t>
  </si>
  <si>
    <t>Belgium</t>
  </si>
  <si>
    <t>Croatia</t>
  </si>
  <si>
    <t>Alphen aan den Rijn shopping mall shooting</t>
  </si>
  <si>
    <t>Andorra</t>
  </si>
  <si>
    <t>None</t>
  </si>
  <si>
    <t>Glennis Grace</t>
  </si>
  <si>
    <t>AVROTROS</t>
  </si>
  <si>
    <t>Duncan Laurence</t>
  </si>
  <si>
    <t>Canada</t>
  </si>
  <si>
    <t>Australia</t>
  </si>
  <si>
    <t>Maastricht</t>
  </si>
  <si>
    <t>Czech Republic</t>
  </si>
  <si>
    <t>Estonia</t>
  </si>
  <si>
    <t>Government of the Netherlands</t>
  </si>
  <si>
    <t>United Arab Emirates</t>
  </si>
  <si>
    <t>Bellingcat</t>
  </si>
  <si>
    <t>Utrecht</t>
  </si>
  <si>
    <t>Poland</t>
  </si>
  <si>
    <t>United Kingdom</t>
  </si>
  <si>
    <t>Marc Pos</t>
  </si>
  <si>
    <t>Sweden</t>
  </si>
  <si>
    <t>Ukraine</t>
  </si>
  <si>
    <t>National Police of the Netherlands</t>
  </si>
  <si>
    <t>Russia</t>
  </si>
  <si>
    <t>Australian Federal Police</t>
  </si>
  <si>
    <t>Suriname</t>
  </si>
  <si>
    <t>Vladimir Putin</t>
  </si>
  <si>
    <t>Greece</t>
  </si>
  <si>
    <t>Monaco</t>
  </si>
  <si>
    <t>Romania</t>
  </si>
  <si>
    <t>European Broadcasting Union</t>
  </si>
  <si>
    <t>Curaçao</t>
  </si>
  <si>
    <t>Ministry of Defense of the Russian Federation</t>
  </si>
  <si>
    <t>Japan</t>
  </si>
  <si>
    <t>Malaysia Airlines Flight 17</t>
  </si>
  <si>
    <t>South Korea</t>
  </si>
  <si>
    <t>Germany</t>
  </si>
  <si>
    <t>San Marino</t>
  </si>
  <si>
    <t>Nigeria</t>
  </si>
  <si>
    <t>South Africa</t>
  </si>
  <si>
    <t>2019 Utrecht shooting</t>
  </si>
  <si>
    <t>Wulf</t>
  </si>
  <si>
    <t>European Court of Human Rights</t>
  </si>
  <si>
    <t>Russian Empire</t>
  </si>
  <si>
    <t>Brazil</t>
  </si>
  <si>
    <t>Cornald Maas</t>
  </si>
  <si>
    <t>Qatar</t>
  </si>
  <si>
    <t>Davina Michelle</t>
  </si>
  <si>
    <t>Ferdinand Grapperhaus</t>
  </si>
  <si>
    <t>Norway</t>
  </si>
  <si>
    <t>Israel</t>
  </si>
  <si>
    <t>Dutch Safety Board</t>
  </si>
  <si>
    <t>Albania</t>
  </si>
  <si>
    <t>Denmark</t>
  </si>
  <si>
    <t>Rotterdam</t>
  </si>
  <si>
    <t>Belarus</t>
  </si>
  <si>
    <t>Spain</t>
  </si>
  <si>
    <t>Italy</t>
  </si>
  <si>
    <t>Peru</t>
  </si>
  <si>
    <t>New Zealand</t>
  </si>
  <si>
    <t>Laos</t>
  </si>
  <si>
    <t>Malaysia Airlines</t>
  </si>
  <si>
    <t>United Nations Security Council</t>
  </si>
  <si>
    <t>India</t>
  </si>
  <si>
    <t>Slovenia</t>
  </si>
  <si>
    <t>Nikkie de Jager</t>
  </si>
  <si>
    <t>Switzerland</t>
  </si>
  <si>
    <t>United States</t>
  </si>
  <si>
    <t>Aruba</t>
  </si>
  <si>
    <t>Bulgaria</t>
  </si>
  <si>
    <t>Fiji</t>
  </si>
  <si>
    <t>Tristan van der Vlis</t>
  </si>
  <si>
    <t>German Democratic Republic</t>
  </si>
  <si>
    <t>Chile</t>
  </si>
  <si>
    <t>The Insider</t>
  </si>
  <si>
    <t>Mali</t>
  </si>
  <si>
    <t>National State Television and Radio Company of the Republic of Belarus</t>
  </si>
  <si>
    <t>Iran</t>
  </si>
  <si>
    <t>Bert Koenders</t>
  </si>
  <si>
    <t>Czechoslovakia</t>
  </si>
  <si>
    <t>Jamaica</t>
  </si>
  <si>
    <t>North Korea</t>
  </si>
  <si>
    <t>Afrojack</t>
  </si>
  <si>
    <t>Montenegro</t>
  </si>
  <si>
    <t>House of Representatives</t>
  </si>
  <si>
    <t>Mark Rutte</t>
  </si>
  <si>
    <t>Niue</t>
  </si>
  <si>
    <t>Hilversum</t>
  </si>
  <si>
    <t>Colombia</t>
  </si>
  <si>
    <t>Al-Mourabitoun</t>
  </si>
  <si>
    <t>Argentina</t>
  </si>
  <si>
    <t>Malaysia</t>
  </si>
  <si>
    <t>Indonesia</t>
  </si>
  <si>
    <t>People's Republic of China</t>
  </si>
  <si>
    <t>Brunei</t>
  </si>
  <si>
    <t>Trial court Netherlands Central</t>
  </si>
  <si>
    <t>Kazakhstan</t>
  </si>
  <si>
    <t>Tunisia</t>
  </si>
  <si>
    <t>Hungary</t>
  </si>
  <si>
    <t>Taiwan</t>
  </si>
  <si>
    <t>2011 Liège attack</t>
  </si>
  <si>
    <t>Austria</t>
  </si>
  <si>
    <t>Mongolia</t>
  </si>
  <si>
    <t>Namibia</t>
  </si>
  <si>
    <t>United Kingdom of Great Britain and Ireland</t>
  </si>
  <si>
    <t>Eurovision Song Contest 2020</t>
  </si>
  <si>
    <t>Kingdom of the Netherlands</t>
  </si>
  <si>
    <t>Gökmen Tanis</t>
  </si>
  <si>
    <t>Luxembourg</t>
  </si>
  <si>
    <t>Sietse Bakker</t>
  </si>
  <si>
    <t>France</t>
  </si>
  <si>
    <t>Stichting Nederlandse Publieke Omroep</t>
  </si>
  <si>
    <t>KLM</t>
  </si>
  <si>
    <t>Thailand</t>
  </si>
  <si>
    <t>2021 Dutch curfew riots</t>
  </si>
  <si>
    <t>Eefje de Visser</t>
  </si>
  <si>
    <t>Moldova</t>
  </si>
  <si>
    <t>Netherlands Public Prosecution Service</t>
  </si>
  <si>
    <t>Amsterdam</t>
  </si>
  <si>
    <t>Stef Blok</t>
  </si>
  <si>
    <t>Netherlands</t>
  </si>
  <si>
    <t>Turkey</t>
  </si>
  <si>
    <t>Thekla Reuten</t>
  </si>
  <si>
    <t>Vietnam</t>
  </si>
  <si>
    <t>Singapore</t>
  </si>
  <si>
    <t>Joint investigation team</t>
  </si>
  <si>
    <t>Eric van Tijn</t>
  </si>
  <si>
    <t>Soviet Union</t>
  </si>
  <si>
    <t>Jan Smit</t>
  </si>
  <si>
    <t>Portugal</t>
  </si>
  <si>
    <t>Entity</t>
  </si>
  <si>
    <t>en_frame_element_lexicon.json</t>
  </si>
  <si>
    <t>Total entries</t>
  </si>
  <si>
    <t>Nouns</t>
  </si>
  <si>
    <t>Verbs</t>
  </si>
  <si>
    <t>Adjectives</t>
  </si>
  <si>
    <t>Names</t>
  </si>
  <si>
    <t>en_frame_lexicon.json</t>
  </si>
  <si>
    <t>nl_frame_element_lexicon.json</t>
  </si>
  <si>
    <t>nl_frame_lexicon.json</t>
  </si>
  <si>
    <t>odfn_lexicon_v0.1.json</t>
  </si>
  <si>
    <t>DET_NOUN</t>
  </si>
  <si>
    <t>ADJ_NOUN</t>
  </si>
  <si>
    <t>DET_ADJ_NOUN</t>
  </si>
  <si>
    <t>NUM_NOUN</t>
  </si>
  <si>
    <t>reference_coverage</t>
  </si>
  <si>
    <t>average polysemy</t>
  </si>
  <si>
    <t>average_annotations</t>
  </si>
  <si>
    <t>Total annotations</t>
  </si>
  <si>
    <t>manual</t>
  </si>
  <si>
    <t>system</t>
  </si>
  <si>
    <t>DFN</t>
  </si>
  <si>
    <t>RBN</t>
  </si>
  <si>
    <t>Sonar</t>
  </si>
  <si>
    <t>Intersecting entities</t>
  </si>
  <si>
    <t>nl_mentions</t>
  </si>
  <si>
    <t>en_mentions</t>
  </si>
  <si>
    <t>nl_only</t>
  </si>
  <si>
    <t>en_only</t>
  </si>
  <si>
    <t>nl_en_overlap</t>
  </si>
  <si>
    <t xml:space="preserve"> Frames/Entry</t>
  </si>
  <si>
    <t>Annotations/Entry</t>
  </si>
  <si>
    <t>Frames</t>
  </si>
  <si>
    <t>RBN-based/rbn_dfn_1_2.json</t>
  </si>
  <si>
    <t>Sonar-corpus-based/A1.json</t>
  </si>
  <si>
    <t>Sonar-corpus-based/A2.json</t>
  </si>
  <si>
    <t>amrani:NOUN</t>
  </si>
  <si>
    <t>NONE</t>
  </si>
  <si>
    <t>Kazakhstan:PROPN</t>
  </si>
  <si>
    <t>Jan:PROPN</t>
  </si>
  <si>
    <t>Denmark:PROPN</t>
  </si>
  <si>
    <t>pers:NOUN</t>
  </si>
  <si>
    <t>Empire:PROPN</t>
  </si>
  <si>
    <t>Turkey:PROPN</t>
  </si>
  <si>
    <t>Russia:PROPN</t>
  </si>
  <si>
    <t>suspect:NOUN</t>
  </si>
  <si>
    <t>score:NOUN</t>
  </si>
  <si>
    <t>Australia:PROPN</t>
  </si>
  <si>
    <t>Poland:PROPN</t>
  </si>
  <si>
    <t>politie:NOUN</t>
  </si>
  <si>
    <t>land:NOUN</t>
  </si>
  <si>
    <t>israël:NOUN</t>
  </si>
  <si>
    <t>hilversum:NOUN</t>
  </si>
  <si>
    <t>cornald:NOUN</t>
  </si>
  <si>
    <t>slachtoffer:NOUN</t>
  </si>
  <si>
    <t>Ukraine:PROPN</t>
  </si>
  <si>
    <t>rutte:NOUN</t>
  </si>
  <si>
    <t>KLM:PROPN</t>
  </si>
  <si>
    <t>Andorra:PROPN</t>
  </si>
  <si>
    <t>council:NOUN</t>
  </si>
  <si>
    <t>Nayda:PROPN</t>
  </si>
  <si>
    <t>NPO:PROPN</t>
  </si>
  <si>
    <t>om:NOUN</t>
  </si>
  <si>
    <t>rel:NOUN</t>
  </si>
  <si>
    <t>Sietse:PROPN</t>
  </si>
  <si>
    <t>commentator:NOUN</t>
  </si>
  <si>
    <t>artist:NOUN</t>
  </si>
  <si>
    <t>organiser:NOUN</t>
  </si>
  <si>
    <t>gewonden:PROPN</t>
  </si>
  <si>
    <t>glenni:NOUN</t>
  </si>
  <si>
    <t>Kingdom:PROPN</t>
  </si>
  <si>
    <t>Spain:PROPN</t>
  </si>
  <si>
    <t>Redo:PROPN</t>
  </si>
  <si>
    <t>investigator:NOUN</t>
  </si>
  <si>
    <t>AVROTROS:PROPN</t>
  </si>
  <si>
    <t>onderzoeker:NOUN</t>
  </si>
  <si>
    <t>Liege:PROPN</t>
  </si>
  <si>
    <t>nikkie:NOUN</t>
  </si>
  <si>
    <t>ovv:NOUN</t>
  </si>
  <si>
    <t>aanslag:NOUN</t>
  </si>
  <si>
    <t>people:NOUN</t>
  </si>
  <si>
    <t>EBU:PROPN</t>
  </si>
  <si>
    <t>minister:NOUN</t>
  </si>
  <si>
    <t>nederland:NOUN</t>
  </si>
  <si>
    <t>Wulf:PROPN</t>
  </si>
  <si>
    <t>Marnix:PROPN</t>
  </si>
  <si>
    <t>oekraïne:NOUN</t>
  </si>
  <si>
    <t>Strelkov:PROPN</t>
  </si>
  <si>
    <t>Blok:PROPN</t>
  </si>
  <si>
    <t>tsemach:NOUN</t>
  </si>
  <si>
    <t>koender:NOUN</t>
  </si>
  <si>
    <t>personnel:NOUN</t>
  </si>
  <si>
    <t>soldier:NOUN</t>
  </si>
  <si>
    <t>man:NOUN</t>
  </si>
  <si>
    <t>MH17:PROPN</t>
  </si>
  <si>
    <t>t.:NOUN</t>
  </si>
  <si>
    <t>gunman:NOUN</t>
  </si>
  <si>
    <t>Montenegro:PROPN</t>
  </si>
  <si>
    <t>utrecht:NOUN</t>
  </si>
  <si>
    <t>groep:NOUN</t>
  </si>
  <si>
    <t>Poroshenko:PROPN</t>
  </si>
  <si>
    <t>country:NOUN</t>
  </si>
  <si>
    <t>Luxembourg:PROPN</t>
  </si>
  <si>
    <t>daad:NOUN</t>
  </si>
  <si>
    <t>kamer:NOUN</t>
  </si>
  <si>
    <t>Blatter:PROPN</t>
  </si>
  <si>
    <t>police:NOUN</t>
  </si>
  <si>
    <t>contest:NOUN</t>
  </si>
  <si>
    <t>rebel:NOUN</t>
  </si>
  <si>
    <t>neuféglise:NOUN</t>
  </si>
  <si>
    <t>Nikkie:PROPN</t>
  </si>
  <si>
    <t>Maastricht:PROPN</t>
  </si>
  <si>
    <t>Marc:PROPN</t>
  </si>
  <si>
    <t>rotterdam:NOUN</t>
  </si>
  <si>
    <t>rioter:NOUN</t>
  </si>
  <si>
    <t>ECtHR:PROPN</t>
  </si>
  <si>
    <t>mali:NOUN</t>
  </si>
  <si>
    <t>grapperhau:NOUN</t>
  </si>
  <si>
    <t>BTRC:PROPN</t>
  </si>
  <si>
    <t>witness:NOUN</t>
  </si>
  <si>
    <t>press:NOUN</t>
  </si>
  <si>
    <t>crew:NOUN</t>
  </si>
  <si>
    <t>crash:NOUN</t>
  </si>
  <si>
    <t>Bellingcat:PROPN</t>
  </si>
  <si>
    <t>Monaco:PROPN</t>
  </si>
  <si>
    <t>jit:NOUN</t>
  </si>
  <si>
    <t>audience:NOUN</t>
  </si>
  <si>
    <t>mens:NOUN</t>
  </si>
  <si>
    <t>amsterdam:NOUN</t>
  </si>
  <si>
    <t>Putin:PROPN</t>
  </si>
  <si>
    <t>American:PROPN</t>
  </si>
  <si>
    <t>agent:NOUN</t>
  </si>
  <si>
    <t>airline:NOUN</t>
  </si>
  <si>
    <t>nabestaande:NOUN</t>
  </si>
  <si>
    <t>afrojack:NOUN</t>
  </si>
  <si>
    <t>van_der_v.:NOUN_PROPN_PROPN</t>
  </si>
  <si>
    <t>Malaysia:PROPN</t>
  </si>
  <si>
    <t>Italian:PROPN</t>
  </si>
  <si>
    <t>rechtbank:NOUN</t>
  </si>
  <si>
    <t>Duncan:PROPN</t>
  </si>
  <si>
    <t>Referent</t>
  </si>
  <si>
    <t>Label</t>
  </si>
  <si>
    <t>Most Frequent Mention</t>
  </si>
  <si>
    <t>NL Frames</t>
  </si>
  <si>
    <t>EN Frames</t>
  </si>
  <si>
    <t>EN_NL Frames</t>
  </si>
  <si>
    <t>Total</t>
  </si>
  <si>
    <t>Lexicon</t>
  </si>
  <si>
    <t>Frames per entry</t>
  </si>
  <si>
    <t>Annotation per entry</t>
  </si>
  <si>
    <t>Frame coverage</t>
  </si>
  <si>
    <t>Manual annotations</t>
  </si>
  <si>
    <t>Lexical baseline</t>
  </si>
  <si>
    <t>Dutch Framenet v1.0</t>
  </si>
  <si>
    <t>Counts</t>
  </si>
  <si>
    <t>Data2Text annotations</t>
  </si>
  <si>
    <t>RBN-Wordnet mappings</t>
  </si>
  <si>
    <t>Sonar annotations</t>
  </si>
  <si>
    <t>fn17-statement@speaker:</t>
  </si>
  <si>
    <t>fn17-responsibility@agent:</t>
  </si>
  <si>
    <t>fn17-affirm\_or\_deny@speaker:</t>
  </si>
  <si>
    <t>fn17-criminal\_investigation@suspect:</t>
  </si>
  <si>
    <t>fn17-supply@supplier:</t>
  </si>
  <si>
    <t>fn17-exchange@exchanger\_1:</t>
  </si>
  <si>
    <t>Q159 (Russia)</t>
  </si>
  <si>
    <t>NL</t>
  </si>
  <si>
    <t>EN</t>
  </si>
  <si>
    <t>NL&amp;EN</t>
  </si>
  <si>
    <t>fn17-offenses@perpetrator</t>
  </si>
  <si>
    <t>fn17-suspicion@suspect</t>
  </si>
  <si>
    <t>fn17-hit_target@agent</t>
  </si>
  <si>
    <t>fn17-attack@assailant</t>
  </si>
  <si>
    <t>fn17-killing@killer</t>
  </si>
  <si>
    <t>fn17-terrorism@terrorist</t>
  </si>
  <si>
    <t>fn17-suspicion</t>
  </si>
  <si>
    <t>fn17-trial@defendant</t>
  </si>
  <si>
    <t>fn17-statement@speaker</t>
  </si>
  <si>
    <t>fn17-committing_crime@perpetrator</t>
  </si>
  <si>
    <t>fn17-use_firearm@agent</t>
  </si>
  <si>
    <t>fn17-arrest@suspect</t>
  </si>
  <si>
    <t>fn17-detaining@suspect</t>
  </si>
  <si>
    <t>fn17-bearing_arms</t>
  </si>
  <si>
    <t>}</t>
  </si>
  <si>
    <t>fn17-chaos@entity</t>
  </si>
  <si>
    <t>fn17-chaos@state</t>
  </si>
  <si>
    <t>fn17-chaos</t>
  </si>
  <si>
    <t>fn17-people</t>
  </si>
  <si>
    <t>fn17-robbery@perpetrator</t>
  </si>
  <si>
    <t>fn17-emotion_directed@experiencer</t>
  </si>
  <si>
    <t>fn17-verdict@defendant</t>
  </si>
  <si>
    <t>fn17-setting_fire@kindler</t>
  </si>
  <si>
    <t>fn17-hostile_encounter@side_2</t>
  </si>
  <si>
    <t>rioter</t>
  </si>
  <si>
    <t>fn17-protest@protester</t>
  </si>
  <si>
    <t>fn17-causation@actor</t>
  </si>
  <si>
    <t>fn17-cause_harm@agent</t>
  </si>
  <si>
    <t>fn17-damaging@agent</t>
  </si>
  <si>
    <t>fn17-destroying@destroyer</t>
  </si>
  <si>
    <t>fn17-evading@evader</t>
  </si>
  <si>
    <t>fn17-resolve_problem@problem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</si>
</sst>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10"/>
      <color rgb="FFBCBEC4"/>
      <name val="JetBrains Mono"/>
      <family val="3"/>
    </font>
    <font>
      <sz val="10"/>
      <color rgb="FF6AAB73"/>
      <name val="JetBrains Mono"/>
      <family val="3"/>
    </font>
    <font>
      <sz val="10"/>
      <color rgb="FF2AACB8"/>
      <name val="JetBrains Mono"/>
      <family val="3"/>
    </font>
    <font>
      <sz val="10"/>
      <name val="JetBrains Mono"/>
      <family val="3"/>
    </font>
    <font>
      <sz val="12"/>
      <name val="Aptos Narrow"/>
      <family val="2"/>
      <scheme val="minor"/>
    </font>
    <font>
      <u/>
      <sz val="12"/>
      <color theme="1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7" fillId="0" borderId="0" applyNumberFormat="0" applyFill="0" applyBorder="0" applyAlignment="0" applyProtection="0"/>
  </cellStyleXfs>
  <cellXfs count="14">
    <xf numFmtId="0" fontId="0" fillId="0" borderId="0" xfId="0"/>
    <xf numFmtId="0" fontId="1" fillId="0" borderId="0" xfId="0" applyFont="1"/>
    <xf numFmtId="0" fontId="1" fillId="2" borderId="0" xfId="0" applyFont="1" applyFill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3" fontId="5" fillId="0" borderId="0" xfId="0" applyNumberFormat="1" applyFont="1"/>
    <xf numFmtId="2" fontId="5" fillId="0" borderId="0" xfId="0" applyNumberFormat="1" applyFont="1"/>
    <xf numFmtId="0" fontId="7" fillId="0" borderId="0" xfId="1"/>
    <xf numFmtId="3" fontId="6" fillId="0" borderId="0" xfId="0" applyNumberFormat="1" applyFont="1"/>
    <xf numFmtId="3" fontId="0" fillId="0" borderId="0" xfId="0" applyNumberFormat="1"/>
    <xf numFmtId="2" fontId="0" fillId="0" borderId="0" xfId="0" applyNumberFormat="1"/>
    <xf numFmtId="0" fontId="2" fillId="0" borderId="0" xfId="0" applyFont="1"/>
  </cellXfs>
  <cellStyles count="2">
    <cellStyle name="Hyperlink" xfId="1" builtinId="8"/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mailto:fn17-robbery@perpetrato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F15FF6-B794-844A-AEFB-D94A9258D4AF}">
  <dimension ref="A1:O34"/>
  <sheetViews>
    <sheetView topLeftCell="A4" zoomScale="120" zoomScaleNormal="120" workbookViewId="0">
      <selection activeCell="A20" sqref="A20:B34"/>
    </sheetView>
  </sheetViews>
  <sheetFormatPr baseColWidth="10" defaultRowHeight="16"/>
  <cols>
    <col min="1" max="1" width="41.83203125" bestFit="1" customWidth="1"/>
    <col min="2" max="2" width="12.83203125" customWidth="1"/>
  </cols>
  <sheetData>
    <row r="1" spans="1:15">
      <c r="B1" t="s">
        <v>312</v>
      </c>
      <c r="C1" t="s">
        <v>313</v>
      </c>
      <c r="D1" t="s">
        <v>316</v>
      </c>
      <c r="E1" t="s">
        <v>314</v>
      </c>
      <c r="F1" t="s">
        <v>315</v>
      </c>
      <c r="G1" s="5" t="s">
        <v>340</v>
      </c>
      <c r="H1" s="5" t="s">
        <v>341</v>
      </c>
      <c r="I1" s="5" t="s">
        <v>328</v>
      </c>
      <c r="J1" s="5" t="s">
        <v>342</v>
      </c>
      <c r="K1" s="5" t="s">
        <v>329</v>
      </c>
      <c r="L1" s="5" t="s">
        <v>330</v>
      </c>
      <c r="M1" s="5" t="s">
        <v>331</v>
      </c>
      <c r="N1" s="5" t="s">
        <v>332</v>
      </c>
      <c r="O1" s="5" t="s">
        <v>333</v>
      </c>
    </row>
    <row r="2" spans="1:15">
      <c r="A2" s="5" t="s">
        <v>319</v>
      </c>
      <c r="B2" s="7">
        <v>2662</v>
      </c>
      <c r="C2" s="7">
        <v>1003</v>
      </c>
      <c r="D2" s="7">
        <v>48</v>
      </c>
      <c r="E2" s="7">
        <v>1019</v>
      </c>
      <c r="F2" s="7">
        <v>212</v>
      </c>
      <c r="G2" s="8">
        <v>4.13996889580093</v>
      </c>
      <c r="H2" s="8">
        <v>18.640746500777599</v>
      </c>
      <c r="I2" s="7">
        <v>11986</v>
      </c>
      <c r="J2" s="7">
        <v>643</v>
      </c>
      <c r="K2" s="7">
        <v>11986</v>
      </c>
      <c r="L2" s="10"/>
      <c r="M2" s="10"/>
      <c r="N2" s="10"/>
      <c r="O2" s="10"/>
    </row>
    <row r="3" spans="1:15">
      <c r="A3" s="5" t="s">
        <v>318</v>
      </c>
      <c r="B3" s="7">
        <v>3588</v>
      </c>
      <c r="C3" s="7">
        <v>2159</v>
      </c>
      <c r="D3" s="7">
        <v>195</v>
      </c>
      <c r="E3" s="7">
        <v>532</v>
      </c>
      <c r="F3" s="7">
        <v>257</v>
      </c>
      <c r="G3" s="8">
        <v>1.99777282850779</v>
      </c>
      <c r="H3" s="8">
        <v>14.1948775055679</v>
      </c>
      <c r="I3" s="7">
        <v>25494</v>
      </c>
      <c r="J3" s="7">
        <v>1796</v>
      </c>
      <c r="K3" s="7">
        <v>25494</v>
      </c>
      <c r="L3" s="10"/>
      <c r="M3" s="10"/>
      <c r="N3" s="10"/>
      <c r="O3" s="10"/>
    </row>
    <row r="4" spans="1:15">
      <c r="A4" s="5" t="s">
        <v>320</v>
      </c>
      <c r="B4" s="7">
        <v>6964</v>
      </c>
      <c r="C4" s="7">
        <v>2883</v>
      </c>
      <c r="D4" s="7">
        <v>218</v>
      </c>
      <c r="E4" s="7">
        <v>2621</v>
      </c>
      <c r="F4" s="7">
        <v>530</v>
      </c>
      <c r="G4" s="8">
        <v>3.0134141064474198</v>
      </c>
      <c r="H4" s="8">
        <v>12.405884898312401</v>
      </c>
      <c r="I4" s="7">
        <v>28670</v>
      </c>
      <c r="J4" s="7">
        <v>2311</v>
      </c>
      <c r="K4" s="7">
        <v>27841</v>
      </c>
      <c r="L4" s="7">
        <v>829</v>
      </c>
      <c r="M4" s="7">
        <v>22435</v>
      </c>
      <c r="N4" s="7">
        <v>954</v>
      </c>
      <c r="O4" s="7">
        <v>5281</v>
      </c>
    </row>
    <row r="5" spans="1:15">
      <c r="A5" s="5" t="s">
        <v>317</v>
      </c>
      <c r="B5" s="7">
        <v>7194</v>
      </c>
      <c r="C5" s="7">
        <v>2778</v>
      </c>
      <c r="D5" s="7">
        <v>591</v>
      </c>
      <c r="E5" s="7">
        <v>2157</v>
      </c>
      <c r="F5" s="7">
        <v>1170</v>
      </c>
      <c r="G5" s="8">
        <v>7.6288441145280999</v>
      </c>
      <c r="H5" s="8">
        <v>973.57264050901301</v>
      </c>
      <c r="I5" s="7">
        <v>918079</v>
      </c>
      <c r="J5" s="7">
        <v>943</v>
      </c>
      <c r="K5" s="7">
        <v>52795</v>
      </c>
      <c r="L5" s="7">
        <v>865284</v>
      </c>
      <c r="M5" s="10"/>
      <c r="N5" s="10"/>
      <c r="O5" s="10"/>
    </row>
    <row r="6" spans="1:15">
      <c r="A6" s="5" t="s">
        <v>311</v>
      </c>
      <c r="B6" s="7">
        <v>6121</v>
      </c>
      <c r="C6" s="7">
        <v>2490</v>
      </c>
      <c r="D6" s="7">
        <v>1879</v>
      </c>
      <c r="E6" s="7">
        <v>856</v>
      </c>
      <c r="F6" s="7">
        <v>401</v>
      </c>
      <c r="G6" s="8">
        <v>2.8536130536130502</v>
      </c>
      <c r="H6" s="8">
        <v>35.0331002331002</v>
      </c>
      <c r="I6" s="7">
        <v>75146</v>
      </c>
      <c r="J6" s="7">
        <v>2145</v>
      </c>
      <c r="K6" s="7">
        <v>75146</v>
      </c>
      <c r="L6" s="7">
        <v>0</v>
      </c>
      <c r="M6" s="10"/>
      <c r="N6" s="10"/>
      <c r="O6" s="10"/>
    </row>
    <row r="7" spans="1:15">
      <c r="A7" s="5" t="s">
        <v>343</v>
      </c>
      <c r="B7" s="7">
        <v>951</v>
      </c>
      <c r="C7" s="7">
        <v>462</v>
      </c>
      <c r="D7" s="7">
        <v>0</v>
      </c>
      <c r="E7" s="7">
        <v>316</v>
      </c>
      <c r="F7" s="7">
        <v>173</v>
      </c>
      <c r="G7" s="8">
        <v>3.42086330935251</v>
      </c>
      <c r="H7" s="8">
        <v>3.4316546762589901</v>
      </c>
      <c r="I7" s="7">
        <v>954</v>
      </c>
      <c r="J7" s="7">
        <v>278</v>
      </c>
      <c r="K7" s="7">
        <v>125</v>
      </c>
      <c r="L7" s="7">
        <v>829</v>
      </c>
    </row>
    <row r="8" spans="1:15">
      <c r="A8" s="5" t="s">
        <v>344</v>
      </c>
      <c r="B8" s="7">
        <v>1246</v>
      </c>
      <c r="C8" s="7">
        <v>0</v>
      </c>
      <c r="D8" s="7">
        <v>1</v>
      </c>
      <c r="E8" s="7">
        <v>1243</v>
      </c>
      <c r="F8" s="7">
        <v>2</v>
      </c>
      <c r="G8" s="8">
        <v>2.1262798634812201</v>
      </c>
      <c r="H8" s="8">
        <v>9.0119453924914605</v>
      </c>
      <c r="I8" s="7">
        <v>5281</v>
      </c>
      <c r="J8" s="7">
        <v>586</v>
      </c>
      <c r="K8" s="7">
        <v>5281</v>
      </c>
      <c r="L8" s="10"/>
    </row>
    <row r="9" spans="1:15">
      <c r="A9" s="5" t="s">
        <v>345</v>
      </c>
      <c r="B9" s="7">
        <v>1246</v>
      </c>
      <c r="C9" s="7">
        <v>0</v>
      </c>
      <c r="D9" s="7">
        <v>1</v>
      </c>
      <c r="E9" s="7">
        <v>1243</v>
      </c>
      <c r="F9" s="7">
        <v>2</v>
      </c>
      <c r="G9" s="8">
        <v>2.1047297297297298</v>
      </c>
      <c r="H9" s="8">
        <v>8.9712837837837807</v>
      </c>
      <c r="I9" s="7">
        <v>5311</v>
      </c>
      <c r="J9" s="7">
        <v>592</v>
      </c>
      <c r="K9" s="7">
        <v>5311</v>
      </c>
      <c r="L9" s="10"/>
    </row>
    <row r="10" spans="1:15">
      <c r="A10" s="3"/>
    </row>
    <row r="11" spans="1:15">
      <c r="A11" s="6" t="s">
        <v>457</v>
      </c>
      <c r="B11" s="6" t="s">
        <v>312</v>
      </c>
      <c r="C11" s="6" t="s">
        <v>313</v>
      </c>
      <c r="D11" s="6" t="s">
        <v>316</v>
      </c>
      <c r="E11" s="6" t="s">
        <v>314</v>
      </c>
      <c r="F11" s="6" t="s">
        <v>315</v>
      </c>
      <c r="G11" s="6" t="s">
        <v>321</v>
      </c>
      <c r="H11" s="6" t="s">
        <v>322</v>
      </c>
      <c r="I11" s="5" t="s">
        <v>323</v>
      </c>
      <c r="J11" s="5" t="s">
        <v>324</v>
      </c>
      <c r="K11" s="5" t="s">
        <v>325</v>
      </c>
      <c r="L11" s="5" t="s">
        <v>326</v>
      </c>
      <c r="M11" s="5" t="s">
        <v>327</v>
      </c>
      <c r="N11" s="5" t="s">
        <v>328</v>
      </c>
    </row>
    <row r="12" spans="1:15">
      <c r="A12" s="5" t="s">
        <v>0</v>
      </c>
      <c r="B12" s="7">
        <v>3170</v>
      </c>
      <c r="C12" s="7">
        <v>472</v>
      </c>
      <c r="D12" s="7">
        <v>88</v>
      </c>
      <c r="E12" s="7">
        <v>39</v>
      </c>
      <c r="F12" s="7">
        <v>73</v>
      </c>
      <c r="G12" s="7">
        <v>211</v>
      </c>
      <c r="H12" s="7">
        <v>111</v>
      </c>
      <c r="I12" s="7">
        <v>89</v>
      </c>
      <c r="J12" s="7">
        <v>102</v>
      </c>
      <c r="K12" s="7">
        <v>288</v>
      </c>
      <c r="L12" s="8">
        <v>11.0069444444444</v>
      </c>
      <c r="M12" s="8">
        <v>34.2083333333333</v>
      </c>
      <c r="N12" s="7">
        <v>9852</v>
      </c>
    </row>
    <row r="13" spans="1:15">
      <c r="A13" s="5" t="s">
        <v>1</v>
      </c>
      <c r="B13" s="7">
        <v>8005</v>
      </c>
      <c r="C13" s="7">
        <v>282</v>
      </c>
      <c r="D13" s="7">
        <v>743</v>
      </c>
      <c r="E13" s="7">
        <v>46</v>
      </c>
      <c r="F13" s="7">
        <v>61</v>
      </c>
      <c r="G13" s="7">
        <v>387</v>
      </c>
      <c r="H13" s="7">
        <v>279</v>
      </c>
      <c r="I13" s="7">
        <v>266</v>
      </c>
      <c r="J13" s="7">
        <v>141</v>
      </c>
      <c r="K13" s="7">
        <v>633</v>
      </c>
      <c r="L13" s="8">
        <v>12.6461295418641</v>
      </c>
      <c r="M13" s="8">
        <v>62.679304897314303</v>
      </c>
      <c r="N13" s="7">
        <v>39676</v>
      </c>
    </row>
    <row r="14" spans="1:15">
      <c r="B14" t="s">
        <v>334</v>
      </c>
      <c r="C14" t="s">
        <v>335</v>
      </c>
      <c r="D14" t="s">
        <v>336</v>
      </c>
      <c r="E14" t="s">
        <v>337</v>
      </c>
      <c r="F14" t="s">
        <v>338</v>
      </c>
      <c r="G14" t="s">
        <v>339</v>
      </c>
    </row>
    <row r="15" spans="1:15">
      <c r="B15" s="4">
        <v>171</v>
      </c>
      <c r="C15" s="4">
        <v>2501</v>
      </c>
      <c r="D15" s="4">
        <v>4945</v>
      </c>
      <c r="E15" s="4">
        <v>10</v>
      </c>
      <c r="F15" s="4">
        <v>30</v>
      </c>
      <c r="G15" s="4">
        <v>80</v>
      </c>
    </row>
    <row r="18" spans="1:5">
      <c r="A18" s="2"/>
      <c r="B18" s="2"/>
      <c r="C18" s="2"/>
      <c r="D18" s="2"/>
      <c r="E18" s="2"/>
    </row>
    <row r="20" spans="1:5">
      <c r="A20" t="s">
        <v>463</v>
      </c>
      <c r="B20" t="s">
        <v>464</v>
      </c>
    </row>
    <row r="21" spans="1:5">
      <c r="A21" t="s">
        <v>312</v>
      </c>
      <c r="B21" s="11">
        <f>SUM(B4)</f>
        <v>6964</v>
      </c>
    </row>
    <row r="22" spans="1:5">
      <c r="A22" s="9" t="s">
        <v>313</v>
      </c>
      <c r="B22" s="11">
        <f>SUM(C4)</f>
        <v>2883</v>
      </c>
    </row>
    <row r="23" spans="1:5">
      <c r="A23" t="s">
        <v>316</v>
      </c>
      <c r="B23" s="11">
        <f>SUM(D4)</f>
        <v>218</v>
      </c>
    </row>
    <row r="24" spans="1:5">
      <c r="A24" t="s">
        <v>314</v>
      </c>
      <c r="B24" s="11">
        <f>SUM(E4)</f>
        <v>2621</v>
      </c>
    </row>
    <row r="25" spans="1:5">
      <c r="A25" t="s">
        <v>315</v>
      </c>
      <c r="B25" s="11">
        <f>SUM(F4)</f>
        <v>530</v>
      </c>
    </row>
    <row r="26" spans="1:5">
      <c r="A26" t="s">
        <v>458</v>
      </c>
      <c r="B26" s="12">
        <f>SUM(G4)</f>
        <v>3.0134141064474198</v>
      </c>
    </row>
    <row r="27" spans="1:5">
      <c r="A27" t="s">
        <v>459</v>
      </c>
      <c r="B27" s="12">
        <f>SUM(H4)</f>
        <v>12.405884898312401</v>
      </c>
    </row>
    <row r="28" spans="1:5">
      <c r="A28" t="s">
        <v>328</v>
      </c>
      <c r="B28" s="11">
        <f>SUM(I4)</f>
        <v>28670</v>
      </c>
    </row>
    <row r="29" spans="1:5">
      <c r="A29" t="s">
        <v>460</v>
      </c>
      <c r="B29" s="11">
        <f>SUM(J4)</f>
        <v>2311</v>
      </c>
    </row>
    <row r="30" spans="1:5">
      <c r="A30" t="s">
        <v>461</v>
      </c>
      <c r="B30" s="11">
        <f>SUM(K4)</f>
        <v>27841</v>
      </c>
    </row>
    <row r="31" spans="1:5">
      <c r="A31" t="s">
        <v>462</v>
      </c>
      <c r="B31" s="11">
        <f>SUM(L4)</f>
        <v>829</v>
      </c>
    </row>
    <row r="32" spans="1:5">
      <c r="A32" t="s">
        <v>465</v>
      </c>
      <c r="B32" s="11">
        <f>SUM(M4)</f>
        <v>22435</v>
      </c>
    </row>
    <row r="33" spans="1:2">
      <c r="A33" t="s">
        <v>466</v>
      </c>
      <c r="B33" s="11">
        <f>SUM(N4)</f>
        <v>954</v>
      </c>
    </row>
    <row r="34" spans="1:2">
      <c r="A34" t="s">
        <v>467</v>
      </c>
      <c r="B34" s="11">
        <f>SUM(O4)</f>
        <v>5281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832A8D-FB52-9244-8B18-6ED143CEC1A5}">
  <dimension ref="A1:E138"/>
  <sheetViews>
    <sheetView workbookViewId="0">
      <selection activeCell="B32" sqref="B32:E51"/>
    </sheetView>
  </sheetViews>
  <sheetFormatPr baseColWidth="10" defaultRowHeight="16"/>
  <cols>
    <col min="1" max="1" width="41.83203125" bestFit="1" customWidth="1"/>
    <col min="2" max="2" width="25.5" customWidth="1"/>
    <col min="3" max="3" width="40" bestFit="1" customWidth="1"/>
    <col min="5" max="5" width="22.6640625" bestFit="1" customWidth="1"/>
  </cols>
  <sheetData>
    <row r="1" spans="1:5">
      <c r="A1" t="s">
        <v>176</v>
      </c>
      <c r="B1" t="s">
        <v>0</v>
      </c>
      <c r="C1" s="11">
        <v>288</v>
      </c>
    </row>
    <row r="2" spans="1:5">
      <c r="A2" t="s">
        <v>177</v>
      </c>
      <c r="B2" t="s">
        <v>0</v>
      </c>
      <c r="C2" s="11">
        <v>9588</v>
      </c>
    </row>
    <row r="3" spans="1:5">
      <c r="A3" t="s">
        <v>176</v>
      </c>
      <c r="B3" t="s">
        <v>1</v>
      </c>
      <c r="C3" s="11">
        <v>633</v>
      </c>
    </row>
    <row r="4" spans="1:5">
      <c r="A4" t="s">
        <v>177</v>
      </c>
      <c r="B4" t="s">
        <v>1</v>
      </c>
      <c r="C4" s="11">
        <v>37536</v>
      </c>
    </row>
    <row r="5" spans="1:5">
      <c r="A5" t="s">
        <v>2</v>
      </c>
      <c r="C5" s="11">
        <v>171</v>
      </c>
    </row>
    <row r="8" spans="1:5">
      <c r="B8" t="s">
        <v>474</v>
      </c>
      <c r="C8" t="s">
        <v>477</v>
      </c>
      <c r="D8" t="s">
        <v>475</v>
      </c>
      <c r="E8" t="s">
        <v>476</v>
      </c>
    </row>
    <row r="9" spans="1:5">
      <c r="B9" t="s">
        <v>468</v>
      </c>
      <c r="C9">
        <v>55</v>
      </c>
      <c r="D9">
        <v>13</v>
      </c>
      <c r="E9">
        <v>42</v>
      </c>
    </row>
    <row r="10" spans="1:5">
      <c r="B10" t="s">
        <v>469</v>
      </c>
      <c r="C10">
        <v>48</v>
      </c>
      <c r="D10">
        <v>36</v>
      </c>
      <c r="E10">
        <v>12</v>
      </c>
    </row>
    <row r="11" spans="1:5">
      <c r="B11" t="s">
        <v>470</v>
      </c>
      <c r="C11">
        <v>47</v>
      </c>
      <c r="D11">
        <v>12</v>
      </c>
      <c r="E11">
        <v>35</v>
      </c>
    </row>
    <row r="12" spans="1:5">
      <c r="B12" t="s">
        <v>471</v>
      </c>
      <c r="C12">
        <v>37</v>
      </c>
      <c r="D12">
        <v>23</v>
      </c>
      <c r="E12">
        <v>14</v>
      </c>
    </row>
    <row r="13" spans="1:5">
      <c r="B13" t="s">
        <v>472</v>
      </c>
      <c r="C13">
        <v>34</v>
      </c>
      <c r="D13">
        <v>3</v>
      </c>
      <c r="E13">
        <v>31</v>
      </c>
    </row>
    <row r="14" spans="1:5">
      <c r="B14" t="s">
        <v>473</v>
      </c>
      <c r="C14">
        <v>22</v>
      </c>
      <c r="D14">
        <v>5</v>
      </c>
      <c r="E14">
        <v>17</v>
      </c>
    </row>
    <row r="15" spans="1:5">
      <c r="B15" t="s">
        <v>287</v>
      </c>
      <c r="C15" t="s">
        <v>477</v>
      </c>
      <c r="D15" t="s">
        <v>475</v>
      </c>
      <c r="E15" t="s">
        <v>476</v>
      </c>
    </row>
    <row r="16" spans="1:5">
      <c r="B16" t="s">
        <v>478</v>
      </c>
      <c r="C16">
        <v>39</v>
      </c>
      <c r="D16">
        <v>19</v>
      </c>
      <c r="E16">
        <v>20</v>
      </c>
    </row>
    <row r="17" spans="2:5">
      <c r="B17" t="s">
        <v>479</v>
      </c>
      <c r="C17">
        <v>33</v>
      </c>
      <c r="D17">
        <v>11</v>
      </c>
      <c r="E17">
        <v>22</v>
      </c>
    </row>
    <row r="18" spans="2:5">
      <c r="B18" t="s">
        <v>480</v>
      </c>
      <c r="C18">
        <v>29</v>
      </c>
      <c r="D18">
        <v>17</v>
      </c>
      <c r="E18">
        <v>12</v>
      </c>
    </row>
    <row r="19" spans="2:5">
      <c r="B19" t="s">
        <v>481</v>
      </c>
      <c r="C19">
        <v>25</v>
      </c>
      <c r="D19">
        <v>13</v>
      </c>
      <c r="E19">
        <v>12</v>
      </c>
    </row>
    <row r="20" spans="2:5">
      <c r="B20" t="s">
        <v>482</v>
      </c>
      <c r="C20">
        <v>22</v>
      </c>
      <c r="D20">
        <v>8</v>
      </c>
      <c r="E20">
        <v>14</v>
      </c>
    </row>
    <row r="21" spans="2:5">
      <c r="B21" t="s">
        <v>483</v>
      </c>
      <c r="C21">
        <v>22</v>
      </c>
      <c r="D21">
        <v>15</v>
      </c>
      <c r="E21">
        <v>7</v>
      </c>
    </row>
    <row r="22" spans="2:5">
      <c r="B22" t="s">
        <v>484</v>
      </c>
      <c r="C22">
        <v>21</v>
      </c>
      <c r="D22">
        <v>7</v>
      </c>
      <c r="E22">
        <v>13</v>
      </c>
    </row>
    <row r="23" spans="2:5">
      <c r="B23" t="s">
        <v>485</v>
      </c>
      <c r="C23">
        <v>19</v>
      </c>
      <c r="D23">
        <v>14</v>
      </c>
      <c r="E23">
        <v>5</v>
      </c>
    </row>
    <row r="24" spans="2:5">
      <c r="B24" t="s">
        <v>486</v>
      </c>
      <c r="C24">
        <v>11</v>
      </c>
      <c r="D24">
        <v>9</v>
      </c>
      <c r="E24">
        <v>2</v>
      </c>
    </row>
    <row r="25" spans="2:5">
      <c r="B25" t="s">
        <v>487</v>
      </c>
      <c r="C25">
        <v>12</v>
      </c>
      <c r="D25">
        <v>8</v>
      </c>
      <c r="E25">
        <v>4</v>
      </c>
    </row>
    <row r="26" spans="2:5">
      <c r="B26" t="s">
        <v>488</v>
      </c>
      <c r="C26">
        <v>15</v>
      </c>
      <c r="D26">
        <v>3</v>
      </c>
      <c r="E26">
        <v>12</v>
      </c>
    </row>
    <row r="27" spans="2:5">
      <c r="B27" t="s">
        <v>489</v>
      </c>
      <c r="C27">
        <v>13</v>
      </c>
      <c r="D27">
        <v>2</v>
      </c>
      <c r="E27">
        <v>11</v>
      </c>
    </row>
    <row r="28" spans="2:5">
      <c r="B28" t="s">
        <v>490</v>
      </c>
      <c r="C28">
        <v>15</v>
      </c>
      <c r="D28">
        <v>4</v>
      </c>
      <c r="E28">
        <v>11</v>
      </c>
    </row>
    <row r="29" spans="2:5">
      <c r="B29" t="s">
        <v>491</v>
      </c>
      <c r="C29">
        <v>0</v>
      </c>
      <c r="D29">
        <v>0</v>
      </c>
      <c r="E29">
        <v>11</v>
      </c>
    </row>
    <row r="32" spans="2:5">
      <c r="B32" t="s">
        <v>502</v>
      </c>
      <c r="C32" t="s">
        <v>477</v>
      </c>
      <c r="D32" t="s">
        <v>475</v>
      </c>
      <c r="E32" t="s">
        <v>476</v>
      </c>
    </row>
    <row r="33" spans="2:5">
      <c r="B33" t="s">
        <v>493</v>
      </c>
      <c r="C33">
        <v>19</v>
      </c>
      <c r="D33">
        <v>11</v>
      </c>
      <c r="E33">
        <v>8</v>
      </c>
    </row>
    <row r="34" spans="2:5">
      <c r="B34" t="s">
        <v>494</v>
      </c>
      <c r="C34">
        <v>5</v>
      </c>
      <c r="D34">
        <v>1</v>
      </c>
      <c r="E34">
        <v>4</v>
      </c>
    </row>
    <row r="35" spans="2:5">
      <c r="B35" t="s">
        <v>495</v>
      </c>
      <c r="C35">
        <v>5</v>
      </c>
      <c r="D35">
        <v>1</v>
      </c>
      <c r="E35">
        <v>4</v>
      </c>
    </row>
    <row r="36" spans="2:5">
      <c r="B36" t="s">
        <v>487</v>
      </c>
      <c r="C36">
        <v>4</v>
      </c>
      <c r="D36">
        <v>3</v>
      </c>
      <c r="E36">
        <v>1</v>
      </c>
    </row>
    <row r="37" spans="2:5">
      <c r="B37" t="s">
        <v>496</v>
      </c>
      <c r="C37">
        <v>4</v>
      </c>
      <c r="D37">
        <v>3</v>
      </c>
      <c r="E37">
        <v>1</v>
      </c>
    </row>
    <row r="38" spans="2:5">
      <c r="B38" s="9" t="s">
        <v>497</v>
      </c>
      <c r="C38">
        <v>2</v>
      </c>
      <c r="D38">
        <v>1</v>
      </c>
      <c r="E38">
        <v>1</v>
      </c>
    </row>
    <row r="39" spans="2:5">
      <c r="B39" t="s">
        <v>498</v>
      </c>
      <c r="C39">
        <v>2</v>
      </c>
      <c r="D39">
        <v>1</v>
      </c>
      <c r="E39">
        <v>1</v>
      </c>
    </row>
    <row r="40" spans="2:5">
      <c r="B40" t="s">
        <v>499</v>
      </c>
      <c r="C40">
        <v>2</v>
      </c>
      <c r="D40">
        <v>1</v>
      </c>
      <c r="E40">
        <v>1</v>
      </c>
    </row>
    <row r="41" spans="2:5">
      <c r="B41" t="s">
        <v>500</v>
      </c>
      <c r="C41">
        <v>2</v>
      </c>
      <c r="D41">
        <v>1</v>
      </c>
      <c r="E41">
        <v>1</v>
      </c>
    </row>
    <row r="42" spans="2:5">
      <c r="B42" t="s">
        <v>501</v>
      </c>
      <c r="C42">
        <v>2</v>
      </c>
      <c r="D42">
        <v>1</v>
      </c>
      <c r="E42">
        <v>1</v>
      </c>
    </row>
    <row r="43" spans="2:5">
      <c r="B43" t="s">
        <v>503</v>
      </c>
      <c r="C43">
        <v>0</v>
      </c>
      <c r="D43">
        <v>9</v>
      </c>
      <c r="E43">
        <v>0</v>
      </c>
    </row>
    <row r="44" spans="2:5">
      <c r="B44" t="s">
        <v>481</v>
      </c>
      <c r="C44">
        <v>0</v>
      </c>
      <c r="D44">
        <v>8</v>
      </c>
      <c r="E44">
        <v>0</v>
      </c>
    </row>
    <row r="45" spans="2:5">
      <c r="B45" t="s">
        <v>504</v>
      </c>
      <c r="C45">
        <v>0</v>
      </c>
      <c r="D45">
        <v>6</v>
      </c>
      <c r="E45">
        <v>0</v>
      </c>
    </row>
    <row r="46" spans="2:5">
      <c r="B46" t="s">
        <v>489</v>
      </c>
      <c r="C46">
        <v>0</v>
      </c>
      <c r="D46">
        <v>5</v>
      </c>
      <c r="E46">
        <v>0</v>
      </c>
    </row>
    <row r="47" spans="2:5">
      <c r="B47" t="s">
        <v>505</v>
      </c>
      <c r="C47">
        <v>0</v>
      </c>
      <c r="D47">
        <v>5</v>
      </c>
      <c r="E47">
        <v>0</v>
      </c>
    </row>
    <row r="48" spans="2:5">
      <c r="B48" t="s">
        <v>506</v>
      </c>
      <c r="C48">
        <v>0</v>
      </c>
      <c r="D48">
        <v>4</v>
      </c>
      <c r="E48">
        <v>0</v>
      </c>
    </row>
    <row r="49" spans="2:5">
      <c r="B49" t="s">
        <v>507</v>
      </c>
      <c r="C49">
        <v>0</v>
      </c>
      <c r="D49">
        <v>4</v>
      </c>
      <c r="E49">
        <v>0</v>
      </c>
    </row>
    <row r="50" spans="2:5">
      <c r="B50" t="s">
        <v>508</v>
      </c>
      <c r="C50">
        <v>2</v>
      </c>
      <c r="D50">
        <v>0</v>
      </c>
      <c r="E50">
        <v>2</v>
      </c>
    </row>
    <row r="51" spans="2:5">
      <c r="B51" t="s">
        <v>509</v>
      </c>
      <c r="C51">
        <v>2</v>
      </c>
      <c r="D51">
        <v>0</v>
      </c>
      <c r="E51">
        <v>2</v>
      </c>
    </row>
    <row r="138" spans="2:2">
      <c r="B138" s="13" t="s">
        <v>492</v>
      </c>
    </row>
  </sheetData>
  <hyperlinks>
    <hyperlink ref="B38" r:id="rId1" xr:uid="{5FCEBA52-C7DD-844A-A202-CC847A0F39E4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580FD1-00CA-7148-8D2E-61249BA21FAF}">
  <dimension ref="A1:D172"/>
  <sheetViews>
    <sheetView workbookViewId="0"/>
  </sheetViews>
  <sheetFormatPr baseColWidth="10" defaultRowHeight="16"/>
  <cols>
    <col min="1" max="1" width="40.33203125" customWidth="1"/>
  </cols>
  <sheetData>
    <row r="1" spans="1:4">
      <c r="A1" t="s">
        <v>310</v>
      </c>
      <c r="B1" t="s">
        <v>174</v>
      </c>
      <c r="C1" t="s">
        <v>175</v>
      </c>
      <c r="D1" t="s">
        <v>456</v>
      </c>
    </row>
    <row r="2" spans="1:4">
      <c r="A2" t="s">
        <v>76</v>
      </c>
      <c r="B2" s="11">
        <v>671</v>
      </c>
      <c r="C2" s="11">
        <v>1198</v>
      </c>
      <c r="D2" s="11">
        <f>SUM(B2:C2)</f>
        <v>1869</v>
      </c>
    </row>
    <row r="3" spans="1:4">
      <c r="A3" t="s">
        <v>53</v>
      </c>
      <c r="B3" s="11">
        <v>222</v>
      </c>
      <c r="C3" s="11">
        <v>1228</v>
      </c>
      <c r="D3" s="11">
        <f>SUM(B3:C3)</f>
        <v>1450</v>
      </c>
    </row>
    <row r="4" spans="1:4">
      <c r="A4" t="s">
        <v>7</v>
      </c>
      <c r="B4" s="11">
        <v>376</v>
      </c>
      <c r="C4" s="11">
        <v>983</v>
      </c>
      <c r="D4" s="11">
        <f>SUM(B4:C4)</f>
        <v>1359</v>
      </c>
    </row>
    <row r="5" spans="1:4">
      <c r="A5" t="s">
        <v>131</v>
      </c>
      <c r="B5" s="11">
        <v>417</v>
      </c>
      <c r="C5" s="11">
        <v>827</v>
      </c>
      <c r="D5" s="11">
        <f>SUM(B5:C5)</f>
        <v>1244</v>
      </c>
    </row>
    <row r="6" spans="1:4">
      <c r="A6" t="s">
        <v>21</v>
      </c>
      <c r="B6" s="11">
        <v>129</v>
      </c>
      <c r="C6" s="11">
        <v>1006</v>
      </c>
      <c r="D6" s="11">
        <f>SUM(B6:C6)</f>
        <v>1135</v>
      </c>
    </row>
    <row r="7" spans="1:4">
      <c r="A7" t="s">
        <v>159</v>
      </c>
      <c r="B7" s="11">
        <v>333</v>
      </c>
      <c r="C7" s="11">
        <v>781</v>
      </c>
      <c r="D7" s="11">
        <f>SUM(B7:C7)</f>
        <v>1114</v>
      </c>
    </row>
    <row r="8" spans="1:4">
      <c r="A8" t="s">
        <v>83</v>
      </c>
      <c r="B8" s="11">
        <v>59</v>
      </c>
      <c r="C8" s="11">
        <v>793</v>
      </c>
      <c r="D8" s="11">
        <f>SUM(B8:C8)</f>
        <v>852</v>
      </c>
    </row>
    <row r="9" spans="1:4">
      <c r="A9" t="s">
        <v>81</v>
      </c>
      <c r="B9" s="11">
        <v>136</v>
      </c>
      <c r="C9" s="11">
        <v>645</v>
      </c>
      <c r="D9" s="11">
        <f>SUM(B9:C9)</f>
        <v>781</v>
      </c>
    </row>
    <row r="10" spans="1:4">
      <c r="A10" t="s">
        <v>5</v>
      </c>
      <c r="B10" s="11">
        <v>331</v>
      </c>
      <c r="C10" s="11">
        <v>277</v>
      </c>
      <c r="D10" s="11">
        <f>SUM(B10:C10)</f>
        <v>608</v>
      </c>
    </row>
    <row r="11" spans="1:4">
      <c r="A11" t="s">
        <v>78</v>
      </c>
      <c r="B11" s="11">
        <v>123</v>
      </c>
      <c r="C11" s="11">
        <v>384</v>
      </c>
      <c r="D11" s="11">
        <f>SUM(B11:C11)</f>
        <v>507</v>
      </c>
    </row>
    <row r="12" spans="1:4">
      <c r="A12" t="s">
        <v>36</v>
      </c>
      <c r="B12" s="11">
        <v>44</v>
      </c>
      <c r="C12" s="11">
        <v>424</v>
      </c>
      <c r="D12" s="11">
        <f>SUM(B12:C12)</f>
        <v>468</v>
      </c>
    </row>
    <row r="13" spans="1:4">
      <c r="A13" t="s">
        <v>147</v>
      </c>
      <c r="B13" s="11">
        <v>229</v>
      </c>
      <c r="C13" s="11">
        <v>232</v>
      </c>
      <c r="D13" s="11">
        <f>SUM(B13:C13)</f>
        <v>461</v>
      </c>
    </row>
    <row r="14" spans="1:4">
      <c r="A14" t="s">
        <v>73</v>
      </c>
      <c r="B14" s="11">
        <v>121</v>
      </c>
      <c r="C14" s="11">
        <v>321</v>
      </c>
      <c r="D14" s="11">
        <f>SUM(B14:C14)</f>
        <v>442</v>
      </c>
    </row>
    <row r="15" spans="1:4">
      <c r="A15" t="s">
        <v>79</v>
      </c>
      <c r="B15" s="11">
        <v>210</v>
      </c>
      <c r="C15" s="11">
        <v>226</v>
      </c>
      <c r="D15" s="11">
        <f>SUM(B15:C15)</f>
        <v>436</v>
      </c>
    </row>
    <row r="16" spans="1:4">
      <c r="A16" t="s">
        <v>122</v>
      </c>
      <c r="B16" s="11">
        <v>183</v>
      </c>
      <c r="C16" s="11">
        <v>232</v>
      </c>
      <c r="D16" s="11">
        <f>SUM(B16:C16)</f>
        <v>415</v>
      </c>
    </row>
    <row r="17" spans="1:4">
      <c r="A17" t="s">
        <v>43</v>
      </c>
      <c r="B17" s="11">
        <v>183</v>
      </c>
      <c r="C17" s="11">
        <v>222</v>
      </c>
      <c r="D17" s="11">
        <f>SUM(B17:C17)</f>
        <v>405</v>
      </c>
    </row>
    <row r="18" spans="1:4">
      <c r="A18" t="s">
        <v>113</v>
      </c>
      <c r="B18" s="11">
        <v>62</v>
      </c>
      <c r="C18" s="11">
        <v>296</v>
      </c>
      <c r="D18" s="11">
        <f>SUM(B18:C18)</f>
        <v>358</v>
      </c>
    </row>
    <row r="19" spans="1:4">
      <c r="A19" t="s">
        <v>4</v>
      </c>
      <c r="B19" s="11">
        <v>161</v>
      </c>
      <c r="C19" s="11">
        <v>191</v>
      </c>
      <c r="D19" s="11">
        <f>SUM(B19:C19)</f>
        <v>352</v>
      </c>
    </row>
    <row r="20" spans="1:4">
      <c r="A20" t="s">
        <v>126</v>
      </c>
      <c r="B20" s="11">
        <v>90</v>
      </c>
      <c r="C20" s="11">
        <v>242</v>
      </c>
      <c r="D20" s="11">
        <f>SUM(B20:C20)</f>
        <v>332</v>
      </c>
    </row>
    <row r="21" spans="1:4">
      <c r="A21" t="s">
        <v>37</v>
      </c>
      <c r="B21" s="11">
        <v>65</v>
      </c>
      <c r="C21" s="11">
        <v>267</v>
      </c>
      <c r="D21" s="11">
        <f>SUM(B21:C21)</f>
        <v>332</v>
      </c>
    </row>
    <row r="22" spans="1:4">
      <c r="A22" t="s">
        <v>124</v>
      </c>
      <c r="B22" s="11">
        <v>12</v>
      </c>
      <c r="C22" s="11">
        <v>306</v>
      </c>
      <c r="D22" s="11">
        <f>SUM(B22:C22)</f>
        <v>318</v>
      </c>
    </row>
    <row r="23" spans="1:4">
      <c r="A23" t="s">
        <v>142</v>
      </c>
      <c r="B23" s="11">
        <v>300</v>
      </c>
      <c r="C23" s="11">
        <v>15</v>
      </c>
      <c r="D23" s="11">
        <f>SUM(B23:C23)</f>
        <v>315</v>
      </c>
    </row>
    <row r="24" spans="1:4">
      <c r="A24" t="s">
        <v>87</v>
      </c>
      <c r="B24" s="11">
        <v>79</v>
      </c>
      <c r="C24" s="11">
        <v>231</v>
      </c>
      <c r="D24" s="11">
        <f>SUM(B24:C24)</f>
        <v>310</v>
      </c>
    </row>
    <row r="25" spans="1:4">
      <c r="A25" t="s">
        <v>115</v>
      </c>
      <c r="B25" s="11">
        <v>163</v>
      </c>
      <c r="C25" s="11">
        <v>143</v>
      </c>
      <c r="D25" s="11">
        <f>SUM(B25:C25)</f>
        <v>306</v>
      </c>
    </row>
    <row r="26" spans="1:4">
      <c r="A26" t="s">
        <v>91</v>
      </c>
      <c r="B26" s="11">
        <v>288</v>
      </c>
      <c r="C26" s="11">
        <v>11</v>
      </c>
      <c r="D26" s="11">
        <f>SUM(B26:C26)</f>
        <v>299</v>
      </c>
    </row>
    <row r="27" spans="1:4">
      <c r="A27" t="s">
        <v>85</v>
      </c>
      <c r="B27" s="11">
        <v>259</v>
      </c>
      <c r="C27" s="11">
        <v>11</v>
      </c>
      <c r="D27" s="11">
        <f>SUM(B27:C27)</f>
        <v>270</v>
      </c>
    </row>
    <row r="28" spans="1:4">
      <c r="A28" t="s">
        <v>165</v>
      </c>
      <c r="B28" s="11">
        <v>21</v>
      </c>
      <c r="C28" s="11">
        <v>237</v>
      </c>
      <c r="D28" s="11">
        <f>SUM(B28:C28)</f>
        <v>258</v>
      </c>
    </row>
    <row r="29" spans="1:4">
      <c r="A29" t="s">
        <v>129</v>
      </c>
      <c r="B29" s="11">
        <v>115</v>
      </c>
      <c r="C29" s="11">
        <v>119</v>
      </c>
      <c r="D29" s="11">
        <f>SUM(B29:C29)</f>
        <v>234</v>
      </c>
    </row>
    <row r="30" spans="1:4">
      <c r="A30" t="s">
        <v>35</v>
      </c>
      <c r="B30" s="11">
        <v>70</v>
      </c>
      <c r="C30" s="11">
        <v>160</v>
      </c>
      <c r="D30" s="11">
        <f>SUM(B30:C30)</f>
        <v>230</v>
      </c>
    </row>
    <row r="31" spans="1:4">
      <c r="A31" t="s">
        <v>163</v>
      </c>
      <c r="B31" s="11">
        <v>1</v>
      </c>
      <c r="C31" s="11">
        <v>205</v>
      </c>
      <c r="D31" s="11">
        <f>SUM(B31:C31)</f>
        <v>206</v>
      </c>
    </row>
    <row r="32" spans="1:4">
      <c r="A32" t="s">
        <v>70</v>
      </c>
      <c r="B32" s="11">
        <v>17</v>
      </c>
      <c r="C32" s="11">
        <v>184</v>
      </c>
      <c r="D32" s="11">
        <f>SUM(B32:C32)</f>
        <v>201</v>
      </c>
    </row>
    <row r="33" spans="1:4">
      <c r="A33" t="s">
        <v>158</v>
      </c>
      <c r="B33" s="11">
        <v>69</v>
      </c>
      <c r="C33" s="11">
        <v>130</v>
      </c>
      <c r="D33" s="11">
        <f>SUM(B33:C33)</f>
        <v>199</v>
      </c>
    </row>
    <row r="34" spans="1:4">
      <c r="A34" t="s">
        <v>61</v>
      </c>
      <c r="B34" s="11">
        <v>193</v>
      </c>
      <c r="C34" s="11">
        <v>5</v>
      </c>
      <c r="D34" s="11">
        <f>SUM(B34:C34)</f>
        <v>198</v>
      </c>
    </row>
    <row r="35" spans="1:4">
      <c r="A35" t="s">
        <v>22</v>
      </c>
      <c r="B35" s="11">
        <v>55</v>
      </c>
      <c r="C35" s="11">
        <v>140</v>
      </c>
      <c r="D35" s="11">
        <f>SUM(B35:C35)</f>
        <v>195</v>
      </c>
    </row>
    <row r="36" spans="1:4">
      <c r="A36" t="s">
        <v>164</v>
      </c>
      <c r="B36" s="11">
        <v>118</v>
      </c>
      <c r="C36" s="11">
        <v>64</v>
      </c>
      <c r="D36" s="11">
        <f>SUM(B36:C36)</f>
        <v>182</v>
      </c>
    </row>
    <row r="37" spans="1:4">
      <c r="A37" t="s">
        <v>103</v>
      </c>
      <c r="B37" s="11">
        <v>55</v>
      </c>
      <c r="C37" s="11">
        <v>118</v>
      </c>
      <c r="D37" s="11">
        <f>SUM(B37:C37)</f>
        <v>173</v>
      </c>
    </row>
    <row r="38" spans="1:4">
      <c r="A38" t="s">
        <v>89</v>
      </c>
      <c r="B38" s="11">
        <v>131</v>
      </c>
      <c r="C38" s="11">
        <v>41</v>
      </c>
      <c r="D38" s="11">
        <f>SUM(B38:C38)</f>
        <v>172</v>
      </c>
    </row>
    <row r="39" spans="1:4">
      <c r="A39" t="s">
        <v>97</v>
      </c>
      <c r="B39" s="11">
        <v>44</v>
      </c>
      <c r="C39" s="11">
        <v>126</v>
      </c>
      <c r="D39" s="11">
        <f>SUM(B39:C39)</f>
        <v>170</v>
      </c>
    </row>
    <row r="40" spans="1:4">
      <c r="A40" t="s">
        <v>141</v>
      </c>
      <c r="B40" s="11">
        <v>99</v>
      </c>
      <c r="C40" s="11">
        <v>70</v>
      </c>
      <c r="D40" s="11">
        <f>SUM(B40:C40)</f>
        <v>169</v>
      </c>
    </row>
    <row r="41" spans="1:4">
      <c r="A41" t="s">
        <v>100</v>
      </c>
      <c r="B41" s="11">
        <v>24</v>
      </c>
      <c r="C41" s="11">
        <v>141</v>
      </c>
      <c r="D41" s="11">
        <f>SUM(B41:C41)</f>
        <v>165</v>
      </c>
    </row>
    <row r="42" spans="1:4">
      <c r="A42" t="s">
        <v>152</v>
      </c>
      <c r="B42" s="11">
        <v>41</v>
      </c>
      <c r="C42" s="11">
        <v>118</v>
      </c>
      <c r="D42" s="11">
        <f>SUM(B42:C42)</f>
        <v>159</v>
      </c>
    </row>
    <row r="43" spans="1:4">
      <c r="A43" t="s">
        <v>151</v>
      </c>
      <c r="B43" s="11">
        <v>28</v>
      </c>
      <c r="C43" s="11">
        <v>124</v>
      </c>
      <c r="D43" s="11">
        <f>SUM(B43:C43)</f>
        <v>152</v>
      </c>
    </row>
    <row r="44" spans="1:4">
      <c r="A44" t="s">
        <v>155</v>
      </c>
      <c r="B44" s="11">
        <v>22</v>
      </c>
      <c r="C44" s="11">
        <v>124</v>
      </c>
      <c r="D44" s="11">
        <f>SUM(B44:C44)</f>
        <v>146</v>
      </c>
    </row>
    <row r="45" spans="1:4">
      <c r="A45" t="s">
        <v>101</v>
      </c>
      <c r="B45" s="11">
        <v>21</v>
      </c>
      <c r="C45" s="11">
        <v>123</v>
      </c>
      <c r="D45" s="11">
        <f>SUM(B45:C45)</f>
        <v>144</v>
      </c>
    </row>
    <row r="46" spans="1:4">
      <c r="A46" t="s">
        <v>39</v>
      </c>
      <c r="B46" s="11">
        <v>18</v>
      </c>
      <c r="C46" s="11">
        <v>125</v>
      </c>
      <c r="D46" s="11">
        <f>SUM(B46:C46)</f>
        <v>143</v>
      </c>
    </row>
    <row r="47" spans="1:4">
      <c r="A47" t="s">
        <v>69</v>
      </c>
      <c r="B47" s="11">
        <v>39</v>
      </c>
      <c r="C47" s="11">
        <v>99</v>
      </c>
      <c r="D47" s="11">
        <f>SUM(B47:C47)</f>
        <v>138</v>
      </c>
    </row>
    <row r="48" spans="1:4">
      <c r="A48" t="s">
        <v>38</v>
      </c>
      <c r="B48" s="11">
        <v>9</v>
      </c>
      <c r="C48" s="11">
        <v>127</v>
      </c>
      <c r="D48" s="11">
        <f>SUM(B48:C48)</f>
        <v>136</v>
      </c>
    </row>
    <row r="49" spans="1:4">
      <c r="A49" t="s">
        <v>34</v>
      </c>
      <c r="B49" s="11">
        <v>3</v>
      </c>
      <c r="C49" s="11">
        <v>123</v>
      </c>
      <c r="D49" s="11">
        <f>SUM(B49:C49)</f>
        <v>126</v>
      </c>
    </row>
    <row r="50" spans="1:4">
      <c r="A50" t="s">
        <v>134</v>
      </c>
      <c r="B50" s="11">
        <v>9</v>
      </c>
      <c r="C50" s="11">
        <v>113</v>
      </c>
      <c r="D50" s="11">
        <f>SUM(B50:C50)</f>
        <v>122</v>
      </c>
    </row>
    <row r="51" spans="1:4">
      <c r="A51" t="s">
        <v>121</v>
      </c>
      <c r="B51" s="11">
        <v>26</v>
      </c>
      <c r="C51" s="11">
        <v>94</v>
      </c>
      <c r="D51" s="11">
        <f>SUM(B51:C51)</f>
        <v>120</v>
      </c>
    </row>
    <row r="52" spans="1:4">
      <c r="A52" t="s">
        <v>170</v>
      </c>
      <c r="B52" s="11">
        <v>24</v>
      </c>
      <c r="C52" s="11">
        <v>95</v>
      </c>
      <c r="D52" s="11">
        <f>SUM(B52:C52)</f>
        <v>119</v>
      </c>
    </row>
    <row r="53" spans="1:4">
      <c r="A53" t="s">
        <v>25</v>
      </c>
      <c r="B53" s="11">
        <v>31</v>
      </c>
      <c r="C53" s="11">
        <v>86</v>
      </c>
      <c r="D53" s="11">
        <f>SUM(B53:C53)</f>
        <v>117</v>
      </c>
    </row>
    <row r="54" spans="1:4">
      <c r="A54" t="s">
        <v>64</v>
      </c>
      <c r="B54" s="11">
        <v>12</v>
      </c>
      <c r="C54" s="11">
        <v>104</v>
      </c>
      <c r="D54" s="11">
        <f>SUM(B54:C54)</f>
        <v>116</v>
      </c>
    </row>
    <row r="55" spans="1:4">
      <c r="A55" t="s">
        <v>149</v>
      </c>
      <c r="B55" s="11">
        <v>13</v>
      </c>
      <c r="C55" s="11">
        <v>96</v>
      </c>
      <c r="D55" s="11">
        <f>SUM(B55:C55)</f>
        <v>109</v>
      </c>
    </row>
    <row r="56" spans="1:4">
      <c r="A56" t="s">
        <v>112</v>
      </c>
      <c r="B56" s="11">
        <v>22</v>
      </c>
      <c r="C56" s="11">
        <v>82</v>
      </c>
      <c r="D56" s="11">
        <f>SUM(B56:C56)</f>
        <v>104</v>
      </c>
    </row>
    <row r="57" spans="1:4">
      <c r="A57" t="s">
        <v>63</v>
      </c>
      <c r="B57" s="11">
        <v>17</v>
      </c>
      <c r="C57" s="11">
        <v>83</v>
      </c>
      <c r="D57" s="11">
        <f>SUM(B57:C57)</f>
        <v>100</v>
      </c>
    </row>
    <row r="58" spans="1:4">
      <c r="A58" t="s">
        <v>44</v>
      </c>
      <c r="B58" s="11">
        <v>9</v>
      </c>
      <c r="C58" s="11">
        <v>91</v>
      </c>
      <c r="D58" s="11">
        <f>SUM(B58:C58)</f>
        <v>100</v>
      </c>
    </row>
    <row r="59" spans="1:4">
      <c r="A59" t="s">
        <v>144</v>
      </c>
      <c r="B59" s="11">
        <v>96</v>
      </c>
      <c r="C59" s="11">
        <v>1</v>
      </c>
      <c r="D59" s="11">
        <f>SUM(B59:C59)</f>
        <v>97</v>
      </c>
    </row>
    <row r="60" spans="1:4">
      <c r="A60" t="s">
        <v>127</v>
      </c>
      <c r="B60" s="11">
        <v>29</v>
      </c>
      <c r="C60" s="11">
        <v>67</v>
      </c>
      <c r="D60" s="11">
        <f>SUM(B60:C60)</f>
        <v>96</v>
      </c>
    </row>
    <row r="61" spans="1:4">
      <c r="A61" t="s">
        <v>31</v>
      </c>
      <c r="B61" s="11">
        <v>5</v>
      </c>
      <c r="C61" s="11">
        <v>89</v>
      </c>
      <c r="D61" s="11">
        <f>SUM(B61:C61)</f>
        <v>94</v>
      </c>
    </row>
    <row r="62" spans="1:4">
      <c r="A62" t="s">
        <v>130</v>
      </c>
      <c r="B62" s="11">
        <v>48</v>
      </c>
      <c r="C62" s="11">
        <v>41</v>
      </c>
      <c r="D62" s="11">
        <f>SUM(B62:C62)</f>
        <v>89</v>
      </c>
    </row>
    <row r="63" spans="1:4">
      <c r="A63" t="s">
        <v>148</v>
      </c>
      <c r="B63" s="11">
        <v>8</v>
      </c>
      <c r="C63" s="11">
        <v>80</v>
      </c>
      <c r="D63" s="11">
        <f>SUM(B63:C63)</f>
        <v>88</v>
      </c>
    </row>
    <row r="64" spans="1:4">
      <c r="A64" t="s">
        <v>55</v>
      </c>
      <c r="B64" s="11">
        <v>13</v>
      </c>
      <c r="C64" s="11">
        <v>74</v>
      </c>
      <c r="D64" s="11">
        <f>SUM(B64:C64)</f>
        <v>87</v>
      </c>
    </row>
    <row r="65" spans="1:4">
      <c r="A65" t="s">
        <v>20</v>
      </c>
      <c r="B65" s="11">
        <v>77</v>
      </c>
      <c r="C65" s="11">
        <v>10</v>
      </c>
      <c r="D65" s="11">
        <f>SUM(B65:C65)</f>
        <v>87</v>
      </c>
    </row>
    <row r="66" spans="1:4">
      <c r="A66" t="s">
        <v>18</v>
      </c>
      <c r="B66" s="11">
        <v>26</v>
      </c>
      <c r="C66" s="11">
        <v>59</v>
      </c>
      <c r="D66" s="11">
        <f>SUM(B66:C66)</f>
        <v>85</v>
      </c>
    </row>
    <row r="67" spans="1:4">
      <c r="A67" t="s">
        <v>108</v>
      </c>
      <c r="B67" s="11">
        <v>10</v>
      </c>
      <c r="C67" s="11">
        <v>74</v>
      </c>
      <c r="D67" s="11">
        <f>SUM(B67:C67)</f>
        <v>84</v>
      </c>
    </row>
    <row r="68" spans="1:4">
      <c r="A68" t="s">
        <v>19</v>
      </c>
      <c r="B68" s="11">
        <v>27</v>
      </c>
      <c r="C68" s="11">
        <v>56</v>
      </c>
      <c r="D68" s="11">
        <f>SUM(B68:C68)</f>
        <v>83</v>
      </c>
    </row>
    <row r="69" spans="1:4">
      <c r="A69" t="s">
        <v>45</v>
      </c>
      <c r="B69" s="11">
        <v>22</v>
      </c>
      <c r="C69" s="11">
        <v>61</v>
      </c>
      <c r="D69" s="11">
        <f>SUM(B69:C69)</f>
        <v>83</v>
      </c>
    </row>
    <row r="70" spans="1:4">
      <c r="A70" t="s">
        <v>50</v>
      </c>
      <c r="B70" s="11">
        <v>4</v>
      </c>
      <c r="C70" s="11">
        <v>78</v>
      </c>
      <c r="D70" s="11">
        <f>SUM(B70:C70)</f>
        <v>82</v>
      </c>
    </row>
    <row r="71" spans="1:4">
      <c r="A71" t="s">
        <v>47</v>
      </c>
      <c r="B71" s="11">
        <v>17</v>
      </c>
      <c r="C71" s="11">
        <v>64</v>
      </c>
      <c r="D71" s="11">
        <f>SUM(B71:C71)</f>
        <v>81</v>
      </c>
    </row>
    <row r="72" spans="1:4">
      <c r="A72" t="s">
        <v>118</v>
      </c>
      <c r="B72" s="11">
        <v>2</v>
      </c>
      <c r="C72" s="11">
        <v>78</v>
      </c>
      <c r="D72" s="11">
        <f>SUM(B72:C72)</f>
        <v>80</v>
      </c>
    </row>
    <row r="73" spans="1:4">
      <c r="A73" t="s">
        <v>11</v>
      </c>
      <c r="B73" s="11">
        <v>16</v>
      </c>
      <c r="C73" s="11">
        <v>64</v>
      </c>
      <c r="D73" s="11">
        <f>SUM(B73:C73)</f>
        <v>80</v>
      </c>
    </row>
    <row r="74" spans="1:4">
      <c r="A74" t="s">
        <v>138</v>
      </c>
      <c r="B74" s="11">
        <v>8</v>
      </c>
      <c r="C74" s="11">
        <v>70</v>
      </c>
      <c r="D74" s="11">
        <f>SUM(B74:C74)</f>
        <v>78</v>
      </c>
    </row>
    <row r="75" spans="1:4">
      <c r="A75" t="s">
        <v>40</v>
      </c>
      <c r="B75" s="11">
        <v>11</v>
      </c>
      <c r="C75" s="11">
        <v>66</v>
      </c>
      <c r="D75" s="11">
        <f>SUM(B75:C75)</f>
        <v>77</v>
      </c>
    </row>
    <row r="76" spans="1:4">
      <c r="A76" t="s">
        <v>23</v>
      </c>
      <c r="B76" s="11">
        <v>22</v>
      </c>
      <c r="C76" s="11">
        <v>53</v>
      </c>
      <c r="D76" s="11">
        <f>SUM(B76:C76)</f>
        <v>75</v>
      </c>
    </row>
    <row r="77" spans="1:4">
      <c r="A77" t="s">
        <v>71</v>
      </c>
      <c r="B77" s="11">
        <v>7</v>
      </c>
      <c r="C77" s="11">
        <v>68</v>
      </c>
      <c r="D77" s="11">
        <f>SUM(B77:C77)</f>
        <v>75</v>
      </c>
    </row>
    <row r="78" spans="1:4">
      <c r="A78" t="s">
        <v>105</v>
      </c>
      <c r="B78" s="11">
        <v>24</v>
      </c>
      <c r="C78" s="11">
        <v>51</v>
      </c>
      <c r="D78" s="11">
        <f>SUM(B78:C78)</f>
        <v>75</v>
      </c>
    </row>
    <row r="79" spans="1:4">
      <c r="A79" t="s">
        <v>88</v>
      </c>
      <c r="B79" s="11">
        <v>28</v>
      </c>
      <c r="C79" s="11">
        <v>46</v>
      </c>
      <c r="D79" s="11">
        <f>SUM(B79:C79)</f>
        <v>74</v>
      </c>
    </row>
    <row r="80" spans="1:4">
      <c r="A80" t="s">
        <v>137</v>
      </c>
      <c r="B80" s="11">
        <v>71</v>
      </c>
      <c r="C80" s="11">
        <v>3</v>
      </c>
      <c r="D80" s="11">
        <f>SUM(B80:C80)</f>
        <v>74</v>
      </c>
    </row>
    <row r="81" spans="1:4">
      <c r="A81" t="s">
        <v>171</v>
      </c>
      <c r="B81" s="11">
        <v>44</v>
      </c>
      <c r="C81" s="11">
        <v>30</v>
      </c>
      <c r="D81" s="11">
        <f>SUM(B81:C81)</f>
        <v>74</v>
      </c>
    </row>
    <row r="82" spans="1:4">
      <c r="A82" t="s">
        <v>150</v>
      </c>
      <c r="B82" s="11">
        <v>3</v>
      </c>
      <c r="C82" s="11">
        <v>71</v>
      </c>
      <c r="D82" s="11">
        <f>SUM(B82:C82)</f>
        <v>74</v>
      </c>
    </row>
    <row r="83" spans="1:4">
      <c r="A83" t="s">
        <v>13</v>
      </c>
      <c r="B83" s="11">
        <v>71</v>
      </c>
      <c r="C83" s="11">
        <v>2</v>
      </c>
      <c r="D83" s="11">
        <f>SUM(B83:C83)</f>
        <v>73</v>
      </c>
    </row>
    <row r="84" spans="1:4">
      <c r="A84" t="s">
        <v>160</v>
      </c>
      <c r="B84" s="11">
        <v>18</v>
      </c>
      <c r="C84" s="11">
        <v>53</v>
      </c>
      <c r="D84" s="11">
        <f>SUM(B84:C84)</f>
        <v>71</v>
      </c>
    </row>
    <row r="85" spans="1:4">
      <c r="A85" t="s">
        <v>8</v>
      </c>
      <c r="B85" s="11">
        <v>23</v>
      </c>
      <c r="C85" s="11">
        <v>47</v>
      </c>
      <c r="D85" s="11">
        <f>SUM(B85:C85)</f>
        <v>70</v>
      </c>
    </row>
    <row r="86" spans="1:4">
      <c r="A86" t="s">
        <v>72</v>
      </c>
      <c r="B86" s="11">
        <v>22</v>
      </c>
      <c r="C86" s="11">
        <v>43</v>
      </c>
      <c r="D86" s="11">
        <f>SUM(B86:C86)</f>
        <v>65</v>
      </c>
    </row>
    <row r="87" spans="1:4">
      <c r="A87" t="s">
        <v>14</v>
      </c>
      <c r="B87" s="11">
        <v>5</v>
      </c>
      <c r="C87" s="11">
        <v>57</v>
      </c>
      <c r="D87" s="11">
        <f>SUM(B87:C87)</f>
        <v>62</v>
      </c>
    </row>
    <row r="88" spans="1:4">
      <c r="A88" t="s">
        <v>110</v>
      </c>
      <c r="B88" s="11">
        <v>1</v>
      </c>
      <c r="C88" s="11">
        <v>61</v>
      </c>
      <c r="D88" s="11">
        <f>SUM(B88:C88)</f>
        <v>62</v>
      </c>
    </row>
    <row r="89" spans="1:4">
      <c r="A89" t="s">
        <v>136</v>
      </c>
      <c r="B89" s="11">
        <v>58</v>
      </c>
      <c r="C89" s="11">
        <v>4</v>
      </c>
      <c r="D89" s="11">
        <f>SUM(B89:C89)</f>
        <v>62</v>
      </c>
    </row>
    <row r="90" spans="1:4">
      <c r="A90" t="s">
        <v>123</v>
      </c>
      <c r="B90" s="11">
        <v>1</v>
      </c>
      <c r="C90" s="11">
        <v>59</v>
      </c>
      <c r="D90" s="11">
        <f>SUM(B90:C90)</f>
        <v>60</v>
      </c>
    </row>
    <row r="91" spans="1:4">
      <c r="A91" t="s">
        <v>145</v>
      </c>
      <c r="B91" s="11">
        <v>50</v>
      </c>
      <c r="C91" s="11">
        <v>10</v>
      </c>
      <c r="D91" s="11">
        <f>SUM(B91:C91)</f>
        <v>60</v>
      </c>
    </row>
    <row r="92" spans="1:4">
      <c r="A92" t="s">
        <v>107</v>
      </c>
      <c r="B92" s="11">
        <v>6</v>
      </c>
      <c r="C92" s="11">
        <v>53</v>
      </c>
      <c r="D92" s="11">
        <f>SUM(B92:C92)</f>
        <v>59</v>
      </c>
    </row>
    <row r="93" spans="1:4">
      <c r="A93" t="s">
        <v>82</v>
      </c>
      <c r="B93" s="11">
        <v>17</v>
      </c>
      <c r="C93" s="11">
        <v>42</v>
      </c>
      <c r="D93" s="11">
        <f>SUM(B93:C93)</f>
        <v>59</v>
      </c>
    </row>
    <row r="94" spans="1:4">
      <c r="A94" t="s">
        <v>58</v>
      </c>
      <c r="B94" s="11">
        <v>57</v>
      </c>
      <c r="C94" s="11">
        <v>2</v>
      </c>
      <c r="D94" s="11">
        <f>SUM(B94:C94)</f>
        <v>59</v>
      </c>
    </row>
    <row r="95" spans="1:4">
      <c r="A95" t="s">
        <v>84</v>
      </c>
      <c r="B95" s="11">
        <v>3</v>
      </c>
      <c r="C95" s="11">
        <v>55</v>
      </c>
      <c r="D95" s="11">
        <f>SUM(B95:C95)</f>
        <v>58</v>
      </c>
    </row>
    <row r="96" spans="1:4">
      <c r="A96" t="s">
        <v>92</v>
      </c>
      <c r="B96" s="11">
        <v>6</v>
      </c>
      <c r="C96" s="11">
        <v>50</v>
      </c>
      <c r="D96" s="11">
        <f>SUM(B96:C96)</f>
        <v>56</v>
      </c>
    </row>
    <row r="97" spans="1:4">
      <c r="A97" t="s">
        <v>16</v>
      </c>
      <c r="B97" s="11">
        <v>51</v>
      </c>
      <c r="C97" s="11">
        <v>4</v>
      </c>
      <c r="D97" s="11">
        <f>SUM(B97:C97)</f>
        <v>55</v>
      </c>
    </row>
    <row r="98" spans="1:4">
      <c r="A98" t="s">
        <v>104</v>
      </c>
      <c r="B98" s="11">
        <v>10</v>
      </c>
      <c r="C98" s="11">
        <v>44</v>
      </c>
      <c r="D98" s="11">
        <f>SUM(B98:C98)</f>
        <v>54</v>
      </c>
    </row>
    <row r="99" spans="1:4">
      <c r="A99" t="s">
        <v>48</v>
      </c>
      <c r="B99" s="11">
        <v>2</v>
      </c>
      <c r="C99" s="11">
        <v>50</v>
      </c>
      <c r="D99" s="11">
        <f>SUM(B99:C99)</f>
        <v>52</v>
      </c>
    </row>
    <row r="100" spans="1:4">
      <c r="A100" t="s">
        <v>54</v>
      </c>
      <c r="B100" s="11">
        <v>13</v>
      </c>
      <c r="C100" s="11">
        <v>36</v>
      </c>
      <c r="D100" s="11">
        <f>SUM(B100:C100)</f>
        <v>49</v>
      </c>
    </row>
    <row r="101" spans="1:4">
      <c r="A101" t="s">
        <v>109</v>
      </c>
      <c r="B101" s="11">
        <v>17</v>
      </c>
      <c r="C101" s="11">
        <v>32</v>
      </c>
      <c r="D101" s="11">
        <f>SUM(B101:C101)</f>
        <v>49</v>
      </c>
    </row>
    <row r="102" spans="1:4">
      <c r="A102" t="s">
        <v>128</v>
      </c>
      <c r="B102" s="11">
        <v>5</v>
      </c>
      <c r="C102" s="11">
        <v>43</v>
      </c>
      <c r="D102" s="11">
        <f>SUM(B102:C102)</f>
        <v>48</v>
      </c>
    </row>
    <row r="103" spans="1:4">
      <c r="A103" t="s">
        <v>10</v>
      </c>
      <c r="B103" s="11">
        <v>3</v>
      </c>
      <c r="C103" s="11">
        <v>44</v>
      </c>
      <c r="D103" s="11">
        <f>SUM(B103:C103)</f>
        <v>47</v>
      </c>
    </row>
    <row r="104" spans="1:4">
      <c r="A104" t="s">
        <v>77</v>
      </c>
      <c r="B104" s="11">
        <v>1</v>
      </c>
      <c r="C104" s="11">
        <v>44</v>
      </c>
      <c r="D104" s="11">
        <f>SUM(B104:C104)</f>
        <v>45</v>
      </c>
    </row>
    <row r="105" spans="1:4">
      <c r="A105" t="s">
        <v>90</v>
      </c>
      <c r="B105" s="11">
        <v>12</v>
      </c>
      <c r="C105" s="11">
        <v>32</v>
      </c>
      <c r="D105" s="11">
        <f>SUM(B105:C105)</f>
        <v>44</v>
      </c>
    </row>
    <row r="106" spans="1:4">
      <c r="A106" t="s">
        <v>153</v>
      </c>
      <c r="B106" s="11">
        <v>7</v>
      </c>
      <c r="C106" s="11">
        <v>37</v>
      </c>
      <c r="D106" s="11">
        <f>SUM(B106:C106)</f>
        <v>44</v>
      </c>
    </row>
    <row r="107" spans="1:4">
      <c r="A107" t="s">
        <v>98</v>
      </c>
      <c r="B107" s="11">
        <v>2</v>
      </c>
      <c r="C107" s="11">
        <v>42</v>
      </c>
      <c r="D107" s="11">
        <f>SUM(B107:C107)</f>
        <v>44</v>
      </c>
    </row>
    <row r="108" spans="1:4">
      <c r="A108" t="s">
        <v>27</v>
      </c>
      <c r="B108" s="11">
        <v>31</v>
      </c>
      <c r="C108" s="11">
        <v>13</v>
      </c>
      <c r="D108" s="11">
        <f>SUM(B108:C108)</f>
        <v>44</v>
      </c>
    </row>
    <row r="109" spans="1:4">
      <c r="A109" t="s">
        <v>30</v>
      </c>
      <c r="B109" s="11">
        <v>17</v>
      </c>
      <c r="C109" s="11">
        <v>26</v>
      </c>
      <c r="D109" s="11">
        <f>SUM(B109:C109)</f>
        <v>43</v>
      </c>
    </row>
    <row r="110" spans="1:4">
      <c r="A110" t="s">
        <v>116</v>
      </c>
      <c r="B110" s="11">
        <v>10</v>
      </c>
      <c r="C110" s="11">
        <v>33</v>
      </c>
      <c r="D110" s="11">
        <f>SUM(B110:C110)</f>
        <v>43</v>
      </c>
    </row>
    <row r="111" spans="1:4">
      <c r="A111" t="s">
        <v>132</v>
      </c>
      <c r="B111" s="11">
        <v>2</v>
      </c>
      <c r="C111" s="11">
        <v>39</v>
      </c>
      <c r="D111" s="11">
        <f>SUM(B111:C111)</f>
        <v>41</v>
      </c>
    </row>
    <row r="112" spans="1:4">
      <c r="A112" t="s">
        <v>62</v>
      </c>
      <c r="B112" s="11">
        <v>2</v>
      </c>
      <c r="C112" s="11">
        <v>39</v>
      </c>
      <c r="D112" s="11">
        <f>SUM(B112:C112)</f>
        <v>41</v>
      </c>
    </row>
    <row r="113" spans="1:4">
      <c r="A113" t="s">
        <v>24</v>
      </c>
      <c r="B113" s="11">
        <v>30</v>
      </c>
      <c r="C113" s="11">
        <v>11</v>
      </c>
      <c r="D113" s="11">
        <f>SUM(B113:C113)</f>
        <v>41</v>
      </c>
    </row>
    <row r="114" spans="1:4">
      <c r="A114" t="s">
        <v>125</v>
      </c>
      <c r="B114" s="11">
        <v>33</v>
      </c>
      <c r="C114" s="11">
        <v>7</v>
      </c>
      <c r="D114" s="11">
        <f>SUM(B114:C114)</f>
        <v>40</v>
      </c>
    </row>
    <row r="115" spans="1:4">
      <c r="A115" t="s">
        <v>94</v>
      </c>
      <c r="B115" s="11">
        <v>15</v>
      </c>
      <c r="C115" s="11">
        <v>24</v>
      </c>
      <c r="D115" s="11">
        <f>SUM(B115:C115)</f>
        <v>39</v>
      </c>
    </row>
    <row r="116" spans="1:4">
      <c r="A116" t="s">
        <v>67</v>
      </c>
      <c r="B116" s="11">
        <v>38</v>
      </c>
      <c r="C116" s="11">
        <v>1</v>
      </c>
      <c r="D116" s="11">
        <f>SUM(B116:C116)</f>
        <v>39</v>
      </c>
    </row>
    <row r="117" spans="1:4">
      <c r="A117" t="s">
        <v>157</v>
      </c>
      <c r="B117" s="11">
        <v>21</v>
      </c>
      <c r="C117" s="11">
        <v>17</v>
      </c>
      <c r="D117" s="11">
        <f>SUM(B117:C117)</f>
        <v>38</v>
      </c>
    </row>
    <row r="118" spans="1:4">
      <c r="A118" t="s">
        <v>139</v>
      </c>
      <c r="B118" s="11">
        <v>33</v>
      </c>
      <c r="C118" s="11">
        <v>3</v>
      </c>
      <c r="D118" s="11">
        <f>SUM(B118:C118)</f>
        <v>36</v>
      </c>
    </row>
    <row r="119" spans="1:4">
      <c r="A119" t="s">
        <v>173</v>
      </c>
      <c r="B119" s="11">
        <v>1</v>
      </c>
      <c r="C119" s="11">
        <v>35</v>
      </c>
      <c r="D119" s="11">
        <f>SUM(B119:C119)</f>
        <v>36</v>
      </c>
    </row>
    <row r="120" spans="1:4">
      <c r="A120" t="s">
        <v>29</v>
      </c>
      <c r="B120" s="11">
        <v>3</v>
      </c>
      <c r="C120" s="11">
        <v>33</v>
      </c>
      <c r="D120" s="11">
        <f>SUM(B120:C120)</f>
        <v>36</v>
      </c>
    </row>
    <row r="121" spans="1:4">
      <c r="A121" t="s">
        <v>60</v>
      </c>
      <c r="B121" s="11">
        <v>13</v>
      </c>
      <c r="C121" s="11">
        <v>21</v>
      </c>
      <c r="D121" s="11">
        <f>SUM(B121:C121)</f>
        <v>34</v>
      </c>
    </row>
    <row r="122" spans="1:4">
      <c r="A122" t="s">
        <v>96</v>
      </c>
      <c r="B122" s="11">
        <v>30</v>
      </c>
      <c r="C122" s="11">
        <v>3</v>
      </c>
      <c r="D122" s="11">
        <f>SUM(B122:C122)</f>
        <v>33</v>
      </c>
    </row>
    <row r="123" spans="1:4">
      <c r="A123" t="s">
        <v>68</v>
      </c>
      <c r="B123" s="11">
        <v>13</v>
      </c>
      <c r="C123" s="11">
        <v>18</v>
      </c>
      <c r="D123" s="11">
        <f>SUM(B123:C123)</f>
        <v>31</v>
      </c>
    </row>
    <row r="124" spans="1:4">
      <c r="A124" t="s">
        <v>56</v>
      </c>
      <c r="B124" s="11">
        <v>1</v>
      </c>
      <c r="C124" s="11">
        <v>29</v>
      </c>
      <c r="D124" s="11">
        <f>SUM(B124:C124)</f>
        <v>30</v>
      </c>
    </row>
    <row r="125" spans="1:4">
      <c r="A125" t="s">
        <v>75</v>
      </c>
      <c r="B125" s="11">
        <v>8</v>
      </c>
      <c r="C125" s="11">
        <v>22</v>
      </c>
      <c r="D125" s="11">
        <f>SUM(B125:C125)</f>
        <v>30</v>
      </c>
    </row>
    <row r="126" spans="1:4">
      <c r="A126" t="s">
        <v>46</v>
      </c>
      <c r="B126" s="11">
        <v>12</v>
      </c>
      <c r="C126" s="11">
        <v>17</v>
      </c>
      <c r="D126" s="11">
        <f>SUM(B126:C126)</f>
        <v>29</v>
      </c>
    </row>
    <row r="127" spans="1:4">
      <c r="A127" t="s">
        <v>86</v>
      </c>
      <c r="B127" s="11">
        <v>8</v>
      </c>
      <c r="C127" s="11">
        <v>20</v>
      </c>
      <c r="D127" s="11">
        <f>SUM(B127:C127)</f>
        <v>28</v>
      </c>
    </row>
    <row r="128" spans="1:4">
      <c r="A128" t="s">
        <v>6</v>
      </c>
      <c r="B128" s="11">
        <v>17</v>
      </c>
      <c r="C128" s="11">
        <v>11</v>
      </c>
      <c r="D128" s="11">
        <f>SUM(B128:C128)</f>
        <v>28</v>
      </c>
    </row>
    <row r="129" spans="1:4">
      <c r="A129" t="s">
        <v>57</v>
      </c>
      <c r="B129" s="11">
        <v>14</v>
      </c>
      <c r="C129" s="11">
        <v>14</v>
      </c>
      <c r="D129" s="11">
        <f>SUM(B129:C129)</f>
        <v>28</v>
      </c>
    </row>
    <row r="130" spans="1:4">
      <c r="A130" t="s">
        <v>65</v>
      </c>
      <c r="B130" s="11">
        <v>1</v>
      </c>
      <c r="C130" s="11">
        <v>26</v>
      </c>
      <c r="D130" s="11">
        <f>SUM(B130:C130)</f>
        <v>27</v>
      </c>
    </row>
    <row r="131" spans="1:4">
      <c r="A131" t="s">
        <v>133</v>
      </c>
      <c r="B131" s="11">
        <v>5</v>
      </c>
      <c r="C131" s="11">
        <v>20</v>
      </c>
      <c r="D131" s="11">
        <f>SUM(B131:C131)</f>
        <v>25</v>
      </c>
    </row>
    <row r="132" spans="1:4">
      <c r="A132" t="s">
        <v>168</v>
      </c>
      <c r="B132" s="11">
        <v>1</v>
      </c>
      <c r="C132" s="11">
        <v>24</v>
      </c>
      <c r="D132" s="11">
        <f>SUM(B132:C132)</f>
        <v>25</v>
      </c>
    </row>
    <row r="133" spans="1:4">
      <c r="A133" t="s">
        <v>119</v>
      </c>
      <c r="B133" s="11">
        <v>1</v>
      </c>
      <c r="C133" s="11">
        <v>23</v>
      </c>
      <c r="D133" s="11">
        <f>SUM(B133:C133)</f>
        <v>24</v>
      </c>
    </row>
    <row r="134" spans="1:4">
      <c r="A134" t="s">
        <v>93</v>
      </c>
      <c r="B134" s="11">
        <v>14</v>
      </c>
      <c r="C134" s="11">
        <v>10</v>
      </c>
      <c r="D134" s="11">
        <f>SUM(B134:C134)</f>
        <v>24</v>
      </c>
    </row>
    <row r="135" spans="1:4">
      <c r="A135" t="s">
        <v>114</v>
      </c>
      <c r="B135" s="11">
        <v>4</v>
      </c>
      <c r="C135" s="11">
        <v>20</v>
      </c>
      <c r="D135" s="11">
        <f>SUM(B135:C135)</f>
        <v>24</v>
      </c>
    </row>
    <row r="136" spans="1:4">
      <c r="A136" t="s">
        <v>111</v>
      </c>
      <c r="B136" s="11">
        <v>1</v>
      </c>
      <c r="C136" s="11">
        <v>22</v>
      </c>
      <c r="D136" s="11">
        <f>SUM(B136:C136)</f>
        <v>23</v>
      </c>
    </row>
    <row r="137" spans="1:4">
      <c r="A137" t="s">
        <v>3</v>
      </c>
      <c r="B137" s="11">
        <v>10</v>
      </c>
      <c r="C137" s="11">
        <v>13</v>
      </c>
      <c r="D137" s="11">
        <f>SUM(B137:C137)</f>
        <v>23</v>
      </c>
    </row>
    <row r="138" spans="1:4">
      <c r="A138" t="s">
        <v>117</v>
      </c>
      <c r="B138" s="11">
        <v>3</v>
      </c>
      <c r="C138" s="11">
        <v>19</v>
      </c>
      <c r="D138" s="11">
        <f>SUM(B138:C138)</f>
        <v>22</v>
      </c>
    </row>
    <row r="139" spans="1:4">
      <c r="A139" t="s">
        <v>42</v>
      </c>
      <c r="B139" s="11">
        <v>1</v>
      </c>
      <c r="C139" s="11">
        <v>21</v>
      </c>
      <c r="D139" s="11">
        <f>SUM(B139:C139)</f>
        <v>22</v>
      </c>
    </row>
    <row r="140" spans="1:4">
      <c r="A140" t="s">
        <v>146</v>
      </c>
      <c r="B140" s="11">
        <v>4</v>
      </c>
      <c r="C140" s="11">
        <v>17</v>
      </c>
      <c r="D140" s="11">
        <f>SUM(B140:C140)</f>
        <v>21</v>
      </c>
    </row>
    <row r="141" spans="1:4">
      <c r="A141" t="s">
        <v>26</v>
      </c>
      <c r="B141" s="11">
        <v>3</v>
      </c>
      <c r="C141" s="11">
        <v>17</v>
      </c>
      <c r="D141" s="11">
        <f>SUM(B141:C141)</f>
        <v>20</v>
      </c>
    </row>
    <row r="142" spans="1:4">
      <c r="A142" t="s">
        <v>15</v>
      </c>
      <c r="B142" s="11">
        <v>1</v>
      </c>
      <c r="C142" s="11">
        <v>19</v>
      </c>
      <c r="D142" s="11">
        <f>SUM(B142:C142)</f>
        <v>20</v>
      </c>
    </row>
    <row r="143" spans="1:4">
      <c r="A143" t="s">
        <v>95</v>
      </c>
      <c r="B143" s="11">
        <v>15</v>
      </c>
      <c r="C143" s="11">
        <v>5</v>
      </c>
      <c r="D143" s="11">
        <f>SUM(B143:C143)</f>
        <v>20</v>
      </c>
    </row>
    <row r="144" spans="1:4">
      <c r="A144" t="s">
        <v>32</v>
      </c>
      <c r="B144" s="11">
        <v>16</v>
      </c>
      <c r="C144" s="11">
        <v>4</v>
      </c>
      <c r="D144" s="11">
        <f>SUM(B144:C144)</f>
        <v>20</v>
      </c>
    </row>
    <row r="145" spans="1:4">
      <c r="A145" t="s">
        <v>80</v>
      </c>
      <c r="B145" s="11">
        <v>1</v>
      </c>
      <c r="C145" s="11">
        <v>17</v>
      </c>
      <c r="D145" s="11">
        <f>SUM(B145:C145)</f>
        <v>18</v>
      </c>
    </row>
    <row r="146" spans="1:4">
      <c r="A146" t="s">
        <v>52</v>
      </c>
      <c r="B146" s="11">
        <v>1</v>
      </c>
      <c r="C146" s="11">
        <v>17</v>
      </c>
      <c r="D146" s="11">
        <f>SUM(B146:C146)</f>
        <v>18</v>
      </c>
    </row>
    <row r="147" spans="1:4">
      <c r="A147" t="s">
        <v>17</v>
      </c>
      <c r="B147" s="11">
        <v>4</v>
      </c>
      <c r="C147" s="11">
        <v>14</v>
      </c>
      <c r="D147" s="11">
        <f>SUM(B147:C147)</f>
        <v>18</v>
      </c>
    </row>
    <row r="148" spans="1:4">
      <c r="A148" t="s">
        <v>99</v>
      </c>
      <c r="B148" s="11">
        <v>1</v>
      </c>
      <c r="C148" s="11">
        <v>17</v>
      </c>
      <c r="D148" s="11">
        <f>SUM(B148:C148)</f>
        <v>18</v>
      </c>
    </row>
    <row r="149" spans="1:4">
      <c r="A149" t="s">
        <v>41</v>
      </c>
      <c r="B149" s="11">
        <v>1</v>
      </c>
      <c r="C149" s="11">
        <v>17</v>
      </c>
      <c r="D149" s="11">
        <f>SUM(B149:C149)</f>
        <v>18</v>
      </c>
    </row>
    <row r="150" spans="1:4">
      <c r="A150" t="s">
        <v>49</v>
      </c>
      <c r="B150" s="11">
        <v>6</v>
      </c>
      <c r="C150" s="11">
        <v>11</v>
      </c>
      <c r="D150" s="11">
        <f>SUM(B150:C150)</f>
        <v>17</v>
      </c>
    </row>
    <row r="151" spans="1:4">
      <c r="A151" t="s">
        <v>161</v>
      </c>
      <c r="B151" s="11">
        <v>14</v>
      </c>
      <c r="C151" s="11">
        <v>2</v>
      </c>
      <c r="D151" s="11">
        <f>SUM(B151:C151)</f>
        <v>16</v>
      </c>
    </row>
    <row r="152" spans="1:4">
      <c r="A152" t="s">
        <v>140</v>
      </c>
      <c r="B152" s="11">
        <v>1</v>
      </c>
      <c r="C152" s="11">
        <v>15</v>
      </c>
      <c r="D152" s="11">
        <f>SUM(B152:C152)</f>
        <v>16</v>
      </c>
    </row>
    <row r="153" spans="1:4">
      <c r="A153" t="s">
        <v>169</v>
      </c>
      <c r="B153" s="11">
        <v>7</v>
      </c>
      <c r="C153" s="11">
        <v>8</v>
      </c>
      <c r="D153" s="11">
        <f>SUM(B153:C153)</f>
        <v>15</v>
      </c>
    </row>
    <row r="154" spans="1:4">
      <c r="A154" t="s">
        <v>9</v>
      </c>
      <c r="B154" s="11">
        <v>2</v>
      </c>
      <c r="C154" s="11">
        <v>13</v>
      </c>
      <c r="D154" s="11">
        <f>SUM(B154:C154)</f>
        <v>15</v>
      </c>
    </row>
    <row r="155" spans="1:4">
      <c r="A155" t="s">
        <v>102</v>
      </c>
      <c r="B155" s="11">
        <v>1</v>
      </c>
      <c r="C155" s="11">
        <v>14</v>
      </c>
      <c r="D155" s="11">
        <f>SUM(B155:C155)</f>
        <v>15</v>
      </c>
    </row>
    <row r="156" spans="1:4">
      <c r="A156" t="s">
        <v>166</v>
      </c>
      <c r="B156" s="11">
        <v>5</v>
      </c>
      <c r="C156" s="11">
        <v>9</v>
      </c>
      <c r="D156" s="11">
        <f>SUM(B156:C156)</f>
        <v>14</v>
      </c>
    </row>
    <row r="157" spans="1:4">
      <c r="A157" t="s">
        <v>66</v>
      </c>
      <c r="B157" s="11">
        <v>7</v>
      </c>
      <c r="C157" s="11">
        <v>6</v>
      </c>
      <c r="D157" s="11">
        <f>SUM(B157:C157)</f>
        <v>13</v>
      </c>
    </row>
    <row r="158" spans="1:4">
      <c r="A158" t="s">
        <v>156</v>
      </c>
      <c r="B158" s="11">
        <v>4</v>
      </c>
      <c r="C158" s="11">
        <v>9</v>
      </c>
      <c r="D158" s="11">
        <f>SUM(B158:C158)</f>
        <v>13</v>
      </c>
    </row>
    <row r="159" spans="1:4">
      <c r="A159" t="s">
        <v>167</v>
      </c>
      <c r="B159" s="11">
        <v>3</v>
      </c>
      <c r="C159" s="11">
        <v>9</v>
      </c>
      <c r="D159" s="11">
        <f>SUM(B159:C159)</f>
        <v>12</v>
      </c>
    </row>
    <row r="160" spans="1:4">
      <c r="A160" t="s">
        <v>106</v>
      </c>
      <c r="B160" s="11">
        <v>6</v>
      </c>
      <c r="C160" s="11">
        <v>5</v>
      </c>
      <c r="D160" s="11">
        <f>SUM(B160:C160)</f>
        <v>11</v>
      </c>
    </row>
    <row r="161" spans="1:4">
      <c r="A161" t="s">
        <v>12</v>
      </c>
      <c r="B161" s="11">
        <v>5</v>
      </c>
      <c r="C161" s="11">
        <v>5</v>
      </c>
      <c r="D161" s="11">
        <f>SUM(B161:C161)</f>
        <v>10</v>
      </c>
    </row>
    <row r="162" spans="1:4">
      <c r="A162" t="s">
        <v>172</v>
      </c>
      <c r="B162" s="11">
        <v>3</v>
      </c>
      <c r="C162" s="11">
        <v>7</v>
      </c>
      <c r="D162" s="11">
        <f>SUM(B162:C162)</f>
        <v>10</v>
      </c>
    </row>
    <row r="163" spans="1:4">
      <c r="A163" t="s">
        <v>28</v>
      </c>
      <c r="B163" s="11">
        <v>3</v>
      </c>
      <c r="C163" s="11">
        <v>6</v>
      </c>
      <c r="D163" s="11">
        <f>SUM(B163:C163)</f>
        <v>9</v>
      </c>
    </row>
    <row r="164" spans="1:4">
      <c r="A164" t="s">
        <v>51</v>
      </c>
      <c r="B164" s="11">
        <v>3</v>
      </c>
      <c r="C164" s="11">
        <v>4</v>
      </c>
      <c r="D164" s="11">
        <f>SUM(B164:C164)</f>
        <v>7</v>
      </c>
    </row>
    <row r="165" spans="1:4">
      <c r="A165" t="s">
        <v>162</v>
      </c>
      <c r="B165" s="11">
        <v>1</v>
      </c>
      <c r="C165" s="11">
        <v>5</v>
      </c>
      <c r="D165" s="11">
        <f>SUM(B165:C165)</f>
        <v>6</v>
      </c>
    </row>
    <row r="166" spans="1:4">
      <c r="A166" t="s">
        <v>143</v>
      </c>
      <c r="B166" s="11">
        <v>1</v>
      </c>
      <c r="C166" s="11">
        <v>5</v>
      </c>
      <c r="D166" s="11">
        <f>SUM(B166:C166)</f>
        <v>6</v>
      </c>
    </row>
    <row r="167" spans="1:4">
      <c r="A167" t="s">
        <v>154</v>
      </c>
      <c r="B167" s="11">
        <v>1</v>
      </c>
      <c r="C167" s="11">
        <v>4</v>
      </c>
      <c r="D167" s="11">
        <f>SUM(B167:C167)</f>
        <v>5</v>
      </c>
    </row>
    <row r="168" spans="1:4">
      <c r="A168" t="s">
        <v>33</v>
      </c>
      <c r="B168" s="11">
        <v>1</v>
      </c>
      <c r="C168" s="11">
        <v>4</v>
      </c>
      <c r="D168" s="11">
        <f>SUM(B168:C168)</f>
        <v>5</v>
      </c>
    </row>
    <row r="169" spans="1:4">
      <c r="A169" t="s">
        <v>135</v>
      </c>
      <c r="B169" s="11">
        <v>1</v>
      </c>
      <c r="C169" s="11">
        <v>3</v>
      </c>
      <c r="D169" s="11">
        <f>SUM(B169:C169)</f>
        <v>4</v>
      </c>
    </row>
    <row r="170" spans="1:4">
      <c r="A170" t="s">
        <v>59</v>
      </c>
      <c r="B170" s="11">
        <v>1</v>
      </c>
      <c r="C170" s="11">
        <v>2</v>
      </c>
      <c r="D170" s="11">
        <f>SUM(B170:C170)</f>
        <v>3</v>
      </c>
    </row>
    <row r="171" spans="1:4">
      <c r="A171" t="s">
        <v>120</v>
      </c>
      <c r="B171" s="11">
        <v>1</v>
      </c>
      <c r="C171" s="11">
        <v>1</v>
      </c>
      <c r="D171" s="11">
        <f>SUM(B171:C171)</f>
        <v>2</v>
      </c>
    </row>
    <row r="172" spans="1:4">
      <c r="A172" t="s">
        <v>74</v>
      </c>
      <c r="B172" s="11">
        <v>1</v>
      </c>
      <c r="C172" s="11">
        <v>1</v>
      </c>
      <c r="D172" s="11">
        <f>SUM(B172:C172)</f>
        <v>2</v>
      </c>
    </row>
  </sheetData>
  <sortState xmlns:xlrd2="http://schemas.microsoft.com/office/spreadsheetml/2017/richdata2" ref="A2:O172">
    <sortCondition descending="1" ref="D2:D172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0470C2-D12E-B24A-BDD1-DD79451A73F0}">
  <dimension ref="A1:F172"/>
  <sheetViews>
    <sheetView tabSelected="1" workbookViewId="0">
      <selection sqref="A1:F19"/>
    </sheetView>
  </sheetViews>
  <sheetFormatPr baseColWidth="10" defaultColWidth="17.6640625" defaultRowHeight="16"/>
  <cols>
    <col min="3" max="3" width="15" customWidth="1"/>
  </cols>
  <sheetData>
    <row r="1" spans="1:6">
      <c r="A1" s="1" t="s">
        <v>450</v>
      </c>
      <c r="B1" s="1" t="s">
        <v>451</v>
      </c>
      <c r="C1" s="1" t="s">
        <v>452</v>
      </c>
      <c r="D1" s="1" t="s">
        <v>453</v>
      </c>
      <c r="E1" s="1" t="s">
        <v>454</v>
      </c>
      <c r="F1" s="1" t="s">
        <v>455</v>
      </c>
    </row>
    <row r="2" spans="1:6">
      <c r="A2" t="s">
        <v>159</v>
      </c>
      <c r="B2" t="s">
        <v>203</v>
      </c>
      <c r="C2" t="s">
        <v>354</v>
      </c>
      <c r="D2">
        <v>105</v>
      </c>
      <c r="E2">
        <v>202</v>
      </c>
      <c r="F2">
        <v>65</v>
      </c>
    </row>
    <row r="3" spans="1:6">
      <c r="A3" t="s">
        <v>76</v>
      </c>
      <c r="B3" t="s">
        <v>214</v>
      </c>
      <c r="C3" t="s">
        <v>432</v>
      </c>
      <c r="D3">
        <v>77</v>
      </c>
      <c r="E3">
        <v>120</v>
      </c>
      <c r="F3">
        <v>53</v>
      </c>
    </row>
    <row r="4" spans="1:6">
      <c r="A4" t="s">
        <v>5</v>
      </c>
      <c r="B4" t="s">
        <v>287</v>
      </c>
      <c r="C4" t="s">
        <v>405</v>
      </c>
      <c r="D4">
        <v>113</v>
      </c>
      <c r="E4">
        <v>88</v>
      </c>
      <c r="F4">
        <v>41</v>
      </c>
    </row>
    <row r="5" spans="1:6">
      <c r="A5" t="s">
        <v>78</v>
      </c>
      <c r="B5" t="s">
        <v>184</v>
      </c>
      <c r="C5" t="s">
        <v>365</v>
      </c>
      <c r="D5">
        <v>60</v>
      </c>
      <c r="E5">
        <v>124</v>
      </c>
      <c r="F5">
        <v>31</v>
      </c>
    </row>
    <row r="6" spans="1:6">
      <c r="A6" t="s">
        <v>21</v>
      </c>
      <c r="B6" t="s">
        <v>184</v>
      </c>
      <c r="C6" t="s">
        <v>418</v>
      </c>
      <c r="D6">
        <v>38</v>
      </c>
      <c r="E6">
        <v>201</v>
      </c>
      <c r="F6">
        <v>31</v>
      </c>
    </row>
    <row r="7" spans="1:6">
      <c r="A7" t="s">
        <v>87</v>
      </c>
      <c r="B7" t="s">
        <v>184</v>
      </c>
      <c r="C7" t="s">
        <v>377</v>
      </c>
      <c r="D7">
        <v>47</v>
      </c>
      <c r="E7">
        <v>116</v>
      </c>
      <c r="F7">
        <v>25</v>
      </c>
    </row>
    <row r="8" spans="1:6">
      <c r="A8" t="s">
        <v>131</v>
      </c>
      <c r="B8" t="s">
        <v>184</v>
      </c>
      <c r="C8" t="s">
        <v>364</v>
      </c>
      <c r="D8">
        <v>69</v>
      </c>
      <c r="E8">
        <v>104</v>
      </c>
      <c r="F8">
        <v>23</v>
      </c>
    </row>
    <row r="9" spans="1:6">
      <c r="A9" t="s">
        <v>7</v>
      </c>
      <c r="B9" t="s">
        <v>184</v>
      </c>
      <c r="C9" t="s">
        <v>404</v>
      </c>
      <c r="D9">
        <v>34</v>
      </c>
      <c r="E9">
        <v>78</v>
      </c>
      <c r="F9">
        <v>22</v>
      </c>
    </row>
    <row r="10" spans="1:6">
      <c r="A10" t="s">
        <v>36</v>
      </c>
      <c r="B10" t="s">
        <v>184</v>
      </c>
      <c r="C10" t="s">
        <v>436</v>
      </c>
      <c r="D10">
        <v>35</v>
      </c>
      <c r="E10">
        <v>135</v>
      </c>
      <c r="F10">
        <v>21</v>
      </c>
    </row>
    <row r="11" spans="1:6">
      <c r="A11" t="s">
        <v>115</v>
      </c>
      <c r="B11" t="s">
        <v>286</v>
      </c>
      <c r="C11" t="s">
        <v>393</v>
      </c>
      <c r="D11">
        <v>59</v>
      </c>
      <c r="E11">
        <v>74</v>
      </c>
      <c r="F11">
        <v>20</v>
      </c>
    </row>
    <row r="12" spans="1:6">
      <c r="A12" t="s">
        <v>53</v>
      </c>
      <c r="B12" t="s">
        <v>285</v>
      </c>
      <c r="C12" t="s">
        <v>417</v>
      </c>
      <c r="D12">
        <v>32</v>
      </c>
      <c r="E12">
        <v>94</v>
      </c>
      <c r="F12">
        <v>19</v>
      </c>
    </row>
    <row r="13" spans="1:6">
      <c r="A13" t="s">
        <v>129</v>
      </c>
      <c r="B13" t="s">
        <v>305</v>
      </c>
      <c r="C13" t="s">
        <v>435</v>
      </c>
      <c r="D13">
        <v>51</v>
      </c>
      <c r="E13">
        <v>43</v>
      </c>
      <c r="F13">
        <v>19</v>
      </c>
    </row>
    <row r="14" spans="1:6">
      <c r="A14" t="s">
        <v>43</v>
      </c>
      <c r="B14" t="s">
        <v>184</v>
      </c>
      <c r="C14" t="s">
        <v>443</v>
      </c>
      <c r="D14">
        <v>59</v>
      </c>
      <c r="E14">
        <v>54</v>
      </c>
      <c r="F14">
        <v>17</v>
      </c>
    </row>
    <row r="15" spans="1:6">
      <c r="A15" t="s">
        <v>83</v>
      </c>
      <c r="B15" t="s">
        <v>184</v>
      </c>
      <c r="C15" t="s">
        <v>376</v>
      </c>
      <c r="D15">
        <v>26</v>
      </c>
      <c r="E15">
        <v>135</v>
      </c>
      <c r="F15">
        <v>14</v>
      </c>
    </row>
    <row r="16" spans="1:6">
      <c r="A16" t="s">
        <v>158</v>
      </c>
      <c r="B16" t="s">
        <v>184</v>
      </c>
      <c r="C16" t="s">
        <v>359</v>
      </c>
      <c r="D16">
        <v>46</v>
      </c>
      <c r="E16">
        <v>47</v>
      </c>
      <c r="F16">
        <v>12</v>
      </c>
    </row>
    <row r="17" spans="1:6">
      <c r="A17" t="s">
        <v>89</v>
      </c>
      <c r="B17" t="s">
        <v>178</v>
      </c>
      <c r="C17" t="s">
        <v>399</v>
      </c>
      <c r="D17">
        <v>49</v>
      </c>
      <c r="E17">
        <v>22</v>
      </c>
      <c r="F17">
        <v>11</v>
      </c>
    </row>
    <row r="18" spans="1:6">
      <c r="A18" t="s">
        <v>4</v>
      </c>
      <c r="B18" t="s">
        <v>184</v>
      </c>
      <c r="C18" t="s">
        <v>364</v>
      </c>
      <c r="D18">
        <v>33</v>
      </c>
      <c r="E18">
        <v>30</v>
      </c>
      <c r="F18">
        <v>10</v>
      </c>
    </row>
    <row r="19" spans="1:6">
      <c r="A19" t="s">
        <v>142</v>
      </c>
      <c r="B19" t="s">
        <v>184</v>
      </c>
      <c r="C19" t="s">
        <v>424</v>
      </c>
      <c r="D19">
        <v>74</v>
      </c>
      <c r="E19">
        <v>20</v>
      </c>
      <c r="F19">
        <v>10</v>
      </c>
    </row>
    <row r="20" spans="1:6">
      <c r="A20" t="s">
        <v>35</v>
      </c>
      <c r="B20" t="s">
        <v>184</v>
      </c>
      <c r="C20" t="s">
        <v>383</v>
      </c>
      <c r="D20">
        <v>30</v>
      </c>
      <c r="E20">
        <v>46</v>
      </c>
      <c r="F20">
        <v>9</v>
      </c>
    </row>
    <row r="21" spans="1:6">
      <c r="A21" t="s">
        <v>79</v>
      </c>
      <c r="B21" t="s">
        <v>220</v>
      </c>
      <c r="C21" t="s">
        <v>413</v>
      </c>
      <c r="D21">
        <v>19</v>
      </c>
      <c r="E21">
        <v>27</v>
      </c>
      <c r="F21">
        <v>9</v>
      </c>
    </row>
    <row r="22" spans="1:6">
      <c r="A22" t="s">
        <v>151</v>
      </c>
      <c r="B22" t="s">
        <v>184</v>
      </c>
      <c r="C22" t="s">
        <v>397</v>
      </c>
      <c r="D22">
        <v>16</v>
      </c>
      <c r="E22">
        <v>32</v>
      </c>
      <c r="F22">
        <v>7</v>
      </c>
    </row>
    <row r="23" spans="1:6">
      <c r="A23" t="s">
        <v>122</v>
      </c>
      <c r="B23" t="s">
        <v>300</v>
      </c>
      <c r="C23" t="s">
        <v>423</v>
      </c>
      <c r="D23">
        <v>44</v>
      </c>
      <c r="E23">
        <v>31</v>
      </c>
      <c r="F23">
        <v>7</v>
      </c>
    </row>
    <row r="24" spans="1:6">
      <c r="A24" t="s">
        <v>23</v>
      </c>
      <c r="B24" t="s">
        <v>184</v>
      </c>
      <c r="C24" t="s">
        <v>355</v>
      </c>
      <c r="D24">
        <v>15</v>
      </c>
      <c r="E24">
        <v>14</v>
      </c>
      <c r="F24">
        <v>6</v>
      </c>
    </row>
    <row r="25" spans="1:6">
      <c r="A25" t="s">
        <v>171</v>
      </c>
      <c r="B25" t="s">
        <v>297</v>
      </c>
      <c r="C25" t="s">
        <v>372</v>
      </c>
      <c r="D25">
        <v>24</v>
      </c>
      <c r="E25">
        <v>15</v>
      </c>
      <c r="F25">
        <v>6</v>
      </c>
    </row>
    <row r="26" spans="1:6">
      <c r="A26" t="s">
        <v>18</v>
      </c>
      <c r="B26" t="s">
        <v>184</v>
      </c>
      <c r="C26" t="s">
        <v>355</v>
      </c>
      <c r="D26">
        <v>17</v>
      </c>
      <c r="E26">
        <v>16</v>
      </c>
      <c r="F26">
        <v>6</v>
      </c>
    </row>
    <row r="27" spans="1:6">
      <c r="A27" t="s">
        <v>130</v>
      </c>
      <c r="B27" t="s">
        <v>184</v>
      </c>
      <c r="C27" t="s">
        <v>390</v>
      </c>
      <c r="D27">
        <v>28</v>
      </c>
      <c r="E27">
        <v>23</v>
      </c>
      <c r="F27">
        <v>6</v>
      </c>
    </row>
    <row r="28" spans="1:6">
      <c r="A28" t="s">
        <v>45</v>
      </c>
      <c r="B28" t="s">
        <v>184</v>
      </c>
      <c r="C28" t="s">
        <v>355</v>
      </c>
      <c r="D28">
        <v>15</v>
      </c>
      <c r="E28">
        <v>16</v>
      </c>
      <c r="F28">
        <v>6</v>
      </c>
    </row>
    <row r="29" spans="1:6">
      <c r="A29" t="s">
        <v>124</v>
      </c>
      <c r="B29" t="s">
        <v>210</v>
      </c>
      <c r="C29" t="s">
        <v>391</v>
      </c>
      <c r="D29">
        <v>11</v>
      </c>
      <c r="E29">
        <v>99</v>
      </c>
      <c r="F29">
        <v>5</v>
      </c>
    </row>
    <row r="30" spans="1:6">
      <c r="A30" t="s">
        <v>100</v>
      </c>
      <c r="B30" t="s">
        <v>184</v>
      </c>
      <c r="C30" t="s">
        <v>429</v>
      </c>
      <c r="D30">
        <v>8</v>
      </c>
      <c r="E30">
        <v>44</v>
      </c>
      <c r="F30">
        <v>5</v>
      </c>
    </row>
    <row r="31" spans="1:6">
      <c r="A31" t="s">
        <v>141</v>
      </c>
      <c r="B31" t="s">
        <v>265</v>
      </c>
      <c r="C31" t="s">
        <v>366</v>
      </c>
      <c r="D31">
        <v>26</v>
      </c>
      <c r="E31">
        <v>18</v>
      </c>
      <c r="F31">
        <v>4</v>
      </c>
    </row>
    <row r="32" spans="1:6">
      <c r="A32" t="s">
        <v>164</v>
      </c>
      <c r="B32" t="s">
        <v>231</v>
      </c>
      <c r="C32" t="s">
        <v>388</v>
      </c>
      <c r="D32">
        <v>26</v>
      </c>
      <c r="E32">
        <v>9</v>
      </c>
      <c r="F32">
        <v>4</v>
      </c>
    </row>
    <row r="33" spans="1:6">
      <c r="A33" t="s">
        <v>112</v>
      </c>
      <c r="B33" t="s">
        <v>184</v>
      </c>
      <c r="C33" t="s">
        <v>431</v>
      </c>
      <c r="D33">
        <v>13</v>
      </c>
      <c r="E33">
        <v>31</v>
      </c>
      <c r="F33">
        <v>4</v>
      </c>
    </row>
    <row r="34" spans="1:6">
      <c r="A34" t="s">
        <v>72</v>
      </c>
      <c r="B34" t="s">
        <v>184</v>
      </c>
      <c r="C34" t="s">
        <v>346</v>
      </c>
      <c r="D34">
        <v>7</v>
      </c>
      <c r="E34">
        <v>17</v>
      </c>
      <c r="F34">
        <v>3</v>
      </c>
    </row>
    <row r="35" spans="1:6">
      <c r="A35" t="s">
        <v>138</v>
      </c>
      <c r="B35" t="s">
        <v>291</v>
      </c>
      <c r="C35" t="s">
        <v>371</v>
      </c>
      <c r="D35">
        <v>10</v>
      </c>
      <c r="E35">
        <v>23</v>
      </c>
      <c r="F35">
        <v>3</v>
      </c>
    </row>
    <row r="36" spans="1:6">
      <c r="A36" t="s">
        <v>145</v>
      </c>
      <c r="B36" t="s">
        <v>184</v>
      </c>
      <c r="C36" t="s">
        <v>403</v>
      </c>
      <c r="D36">
        <v>15</v>
      </c>
      <c r="E36">
        <v>8</v>
      </c>
      <c r="F36">
        <v>3</v>
      </c>
    </row>
    <row r="37" spans="1:6">
      <c r="A37" t="s">
        <v>116</v>
      </c>
      <c r="B37" t="s">
        <v>190</v>
      </c>
      <c r="C37" t="s">
        <v>421</v>
      </c>
      <c r="D37">
        <v>6</v>
      </c>
      <c r="E37">
        <v>19</v>
      </c>
      <c r="F37">
        <v>3</v>
      </c>
    </row>
    <row r="38" spans="1:6">
      <c r="A38" t="s">
        <v>44</v>
      </c>
      <c r="B38" t="s">
        <v>195</v>
      </c>
      <c r="C38" t="s">
        <v>433</v>
      </c>
      <c r="D38">
        <v>7</v>
      </c>
      <c r="E38">
        <v>37</v>
      </c>
      <c r="F38">
        <v>3</v>
      </c>
    </row>
    <row r="39" spans="1:6">
      <c r="A39" t="s">
        <v>165</v>
      </c>
      <c r="B39" t="s">
        <v>189</v>
      </c>
      <c r="C39" t="s">
        <v>357</v>
      </c>
      <c r="D39">
        <v>8</v>
      </c>
      <c r="E39">
        <v>74</v>
      </c>
      <c r="F39">
        <v>2</v>
      </c>
    </row>
    <row r="40" spans="1:6">
      <c r="A40" t="s">
        <v>19</v>
      </c>
      <c r="B40" t="s">
        <v>292</v>
      </c>
      <c r="C40" t="s">
        <v>367</v>
      </c>
      <c r="D40">
        <v>15</v>
      </c>
      <c r="E40">
        <v>23</v>
      </c>
      <c r="F40">
        <v>2</v>
      </c>
    </row>
    <row r="41" spans="1:6">
      <c r="A41" t="s">
        <v>11</v>
      </c>
      <c r="B41" t="s">
        <v>289</v>
      </c>
      <c r="C41" t="s">
        <v>374</v>
      </c>
      <c r="D41">
        <v>7</v>
      </c>
      <c r="E41">
        <v>8</v>
      </c>
      <c r="F41">
        <v>2</v>
      </c>
    </row>
    <row r="42" spans="1:6">
      <c r="A42" t="s">
        <v>60</v>
      </c>
      <c r="B42" t="s">
        <v>299</v>
      </c>
      <c r="C42" t="s">
        <v>398</v>
      </c>
      <c r="D42">
        <v>2</v>
      </c>
      <c r="E42">
        <v>7</v>
      </c>
      <c r="F42">
        <v>2</v>
      </c>
    </row>
    <row r="43" spans="1:6">
      <c r="A43" t="s">
        <v>147</v>
      </c>
      <c r="B43" t="s">
        <v>196</v>
      </c>
      <c r="C43" t="s">
        <v>408</v>
      </c>
      <c r="D43">
        <v>15</v>
      </c>
      <c r="E43">
        <v>18</v>
      </c>
      <c r="F43">
        <v>2</v>
      </c>
    </row>
    <row r="44" spans="1:6">
      <c r="A44" t="s">
        <v>125</v>
      </c>
      <c r="B44" t="s">
        <v>264</v>
      </c>
      <c r="C44" t="s">
        <v>414</v>
      </c>
      <c r="D44">
        <v>20</v>
      </c>
      <c r="E44">
        <v>7</v>
      </c>
      <c r="F44">
        <v>2</v>
      </c>
    </row>
    <row r="45" spans="1:6">
      <c r="A45" t="s">
        <v>13</v>
      </c>
      <c r="B45" t="s">
        <v>184</v>
      </c>
      <c r="C45" t="s">
        <v>419</v>
      </c>
      <c r="D45">
        <v>29</v>
      </c>
      <c r="E45">
        <v>5</v>
      </c>
      <c r="F45">
        <v>2</v>
      </c>
    </row>
    <row r="46" spans="1:6">
      <c r="A46" t="s">
        <v>39</v>
      </c>
      <c r="B46" t="s">
        <v>206</v>
      </c>
      <c r="C46" t="s">
        <v>439</v>
      </c>
      <c r="D46">
        <v>8</v>
      </c>
      <c r="E46">
        <v>49</v>
      </c>
      <c r="F46">
        <v>2</v>
      </c>
    </row>
    <row r="47" spans="1:6">
      <c r="A47" t="s">
        <v>27</v>
      </c>
      <c r="B47" t="s">
        <v>262</v>
      </c>
      <c r="C47" t="s">
        <v>444</v>
      </c>
      <c r="D47">
        <v>18</v>
      </c>
      <c r="E47">
        <v>4</v>
      </c>
      <c r="F47">
        <v>2</v>
      </c>
    </row>
    <row r="48" spans="1:6">
      <c r="A48" t="s">
        <v>149</v>
      </c>
      <c r="B48" t="s">
        <v>187</v>
      </c>
      <c r="C48" t="s">
        <v>449</v>
      </c>
      <c r="D48">
        <v>2</v>
      </c>
      <c r="E48">
        <v>40</v>
      </c>
      <c r="F48">
        <v>2</v>
      </c>
    </row>
    <row r="49" spans="1:6">
      <c r="A49" t="s">
        <v>137</v>
      </c>
      <c r="B49" t="s">
        <v>193</v>
      </c>
      <c r="C49" t="s">
        <v>366</v>
      </c>
      <c r="D49">
        <v>27</v>
      </c>
      <c r="E49">
        <v>3</v>
      </c>
      <c r="F49">
        <v>1</v>
      </c>
    </row>
    <row r="50" spans="1:6">
      <c r="A50" t="s">
        <v>82</v>
      </c>
      <c r="B50" t="s">
        <v>242</v>
      </c>
      <c r="C50" t="s">
        <v>369</v>
      </c>
      <c r="D50">
        <v>3</v>
      </c>
      <c r="E50">
        <v>5</v>
      </c>
      <c r="F50">
        <v>1</v>
      </c>
    </row>
    <row r="51" spans="1:6">
      <c r="A51" t="s">
        <v>30</v>
      </c>
      <c r="B51" t="s">
        <v>184</v>
      </c>
      <c r="C51" t="s">
        <v>375</v>
      </c>
      <c r="D51">
        <v>13</v>
      </c>
      <c r="E51">
        <v>9</v>
      </c>
      <c r="F51">
        <v>1</v>
      </c>
    </row>
    <row r="52" spans="1:6">
      <c r="A52" t="s">
        <v>105</v>
      </c>
      <c r="B52" t="s">
        <v>184</v>
      </c>
      <c r="C52" t="s">
        <v>387</v>
      </c>
      <c r="D52">
        <v>17</v>
      </c>
      <c r="E52">
        <v>13</v>
      </c>
      <c r="F52">
        <v>1</v>
      </c>
    </row>
    <row r="53" spans="1:6">
      <c r="A53" t="s">
        <v>28</v>
      </c>
      <c r="B53" t="s">
        <v>227</v>
      </c>
      <c r="C53" t="s">
        <v>347</v>
      </c>
      <c r="D53">
        <v>5</v>
      </c>
      <c r="E53">
        <v>3</v>
      </c>
      <c r="F53">
        <v>1</v>
      </c>
    </row>
    <row r="54" spans="1:6">
      <c r="A54" t="s">
        <v>93</v>
      </c>
      <c r="B54" t="s">
        <v>258</v>
      </c>
      <c r="C54" t="s">
        <v>400</v>
      </c>
      <c r="D54">
        <v>6</v>
      </c>
      <c r="E54">
        <v>6</v>
      </c>
      <c r="F54">
        <v>1</v>
      </c>
    </row>
    <row r="55" spans="1:6">
      <c r="A55" t="s">
        <v>153</v>
      </c>
      <c r="B55" t="s">
        <v>184</v>
      </c>
      <c r="C55" t="s">
        <v>410</v>
      </c>
      <c r="D55">
        <v>3</v>
      </c>
      <c r="E55">
        <v>13</v>
      </c>
      <c r="F55">
        <v>1</v>
      </c>
    </row>
    <row r="56" spans="1:6">
      <c r="A56" t="s">
        <v>8</v>
      </c>
      <c r="B56" t="s">
        <v>245</v>
      </c>
      <c r="C56" t="s">
        <v>420</v>
      </c>
      <c r="D56">
        <v>16</v>
      </c>
      <c r="E56">
        <v>10</v>
      </c>
      <c r="F56">
        <v>1</v>
      </c>
    </row>
    <row r="57" spans="1:6">
      <c r="A57" t="s">
        <v>32</v>
      </c>
      <c r="B57" t="s">
        <v>228</v>
      </c>
      <c r="C57" t="s">
        <v>427</v>
      </c>
      <c r="D57">
        <v>7</v>
      </c>
      <c r="E57">
        <v>2</v>
      </c>
      <c r="F57">
        <v>1</v>
      </c>
    </row>
    <row r="58" spans="1:6">
      <c r="A58" t="s">
        <v>144</v>
      </c>
      <c r="B58" t="s">
        <v>184</v>
      </c>
      <c r="C58" t="s">
        <v>437</v>
      </c>
      <c r="D58">
        <v>73</v>
      </c>
      <c r="E58">
        <v>2</v>
      </c>
      <c r="F58">
        <v>1</v>
      </c>
    </row>
    <row r="59" spans="1:6">
      <c r="A59" t="s">
        <v>91</v>
      </c>
      <c r="B59" t="s">
        <v>184</v>
      </c>
      <c r="C59" t="s">
        <v>441</v>
      </c>
      <c r="D59">
        <v>48</v>
      </c>
      <c r="E59">
        <v>6</v>
      </c>
      <c r="F59">
        <v>1</v>
      </c>
    </row>
    <row r="60" spans="1:6">
      <c r="A60" t="s">
        <v>69</v>
      </c>
      <c r="B60" t="s">
        <v>271</v>
      </c>
      <c r="C60" t="s">
        <v>446</v>
      </c>
      <c r="D60">
        <v>5</v>
      </c>
      <c r="E60">
        <v>24</v>
      </c>
      <c r="F60">
        <v>1</v>
      </c>
    </row>
    <row r="61" spans="1:6">
      <c r="A61" t="s">
        <v>92</v>
      </c>
      <c r="B61" t="s">
        <v>229</v>
      </c>
      <c r="C61" t="s">
        <v>347</v>
      </c>
      <c r="D61">
        <v>0</v>
      </c>
      <c r="E61">
        <v>0</v>
      </c>
      <c r="F61">
        <v>0</v>
      </c>
    </row>
    <row r="62" spans="1:6">
      <c r="A62" t="s">
        <v>132</v>
      </c>
      <c r="B62" t="s">
        <v>276</v>
      </c>
      <c r="C62" t="s">
        <v>348</v>
      </c>
      <c r="D62">
        <v>0</v>
      </c>
      <c r="E62">
        <v>11</v>
      </c>
      <c r="F62">
        <v>0</v>
      </c>
    </row>
    <row r="63" spans="1:6">
      <c r="A63" t="s">
        <v>65</v>
      </c>
      <c r="B63" t="s">
        <v>308</v>
      </c>
      <c r="C63" t="s">
        <v>349</v>
      </c>
      <c r="D63">
        <v>0</v>
      </c>
      <c r="E63">
        <v>6</v>
      </c>
      <c r="F63">
        <v>0</v>
      </c>
    </row>
    <row r="64" spans="1:6">
      <c r="A64" t="s">
        <v>66</v>
      </c>
      <c r="B64" t="s">
        <v>211</v>
      </c>
      <c r="C64" t="s">
        <v>347</v>
      </c>
      <c r="D64">
        <v>0</v>
      </c>
      <c r="E64">
        <v>0</v>
      </c>
      <c r="F64">
        <v>0</v>
      </c>
    </row>
    <row r="65" spans="1:6">
      <c r="A65" t="s">
        <v>80</v>
      </c>
      <c r="B65" t="s">
        <v>295</v>
      </c>
      <c r="C65" t="s">
        <v>347</v>
      </c>
      <c r="D65">
        <v>0</v>
      </c>
      <c r="E65">
        <v>5</v>
      </c>
      <c r="F65">
        <v>0</v>
      </c>
    </row>
    <row r="66" spans="1:6">
      <c r="A66" t="s">
        <v>154</v>
      </c>
      <c r="B66" t="s">
        <v>283</v>
      </c>
      <c r="C66" t="s">
        <v>347</v>
      </c>
      <c r="D66">
        <v>0</v>
      </c>
      <c r="E66">
        <v>0</v>
      </c>
      <c r="F66">
        <v>0</v>
      </c>
    </row>
    <row r="67" spans="1:6">
      <c r="A67" t="s">
        <v>63</v>
      </c>
      <c r="B67" t="s">
        <v>233</v>
      </c>
      <c r="C67" t="s">
        <v>350</v>
      </c>
      <c r="D67">
        <v>0</v>
      </c>
      <c r="E67">
        <v>8</v>
      </c>
      <c r="F67">
        <v>0</v>
      </c>
    </row>
    <row r="68" spans="1:6">
      <c r="A68" t="s">
        <v>90</v>
      </c>
      <c r="B68" t="s">
        <v>184</v>
      </c>
      <c r="C68" t="s">
        <v>351</v>
      </c>
      <c r="D68">
        <v>3</v>
      </c>
      <c r="E68">
        <v>7</v>
      </c>
      <c r="F68">
        <v>0</v>
      </c>
    </row>
    <row r="69" spans="1:6">
      <c r="A69" t="s">
        <v>135</v>
      </c>
      <c r="B69" t="s">
        <v>223</v>
      </c>
      <c r="C69" t="s">
        <v>352</v>
      </c>
      <c r="D69">
        <v>0</v>
      </c>
      <c r="E69">
        <v>1</v>
      </c>
      <c r="F69">
        <v>0</v>
      </c>
    </row>
    <row r="70" spans="1:6">
      <c r="A70" t="s">
        <v>88</v>
      </c>
      <c r="B70" t="s">
        <v>309</v>
      </c>
      <c r="C70" t="s">
        <v>347</v>
      </c>
      <c r="D70">
        <v>0</v>
      </c>
      <c r="E70">
        <v>0</v>
      </c>
      <c r="F70">
        <v>0</v>
      </c>
    </row>
    <row r="71" spans="1:6">
      <c r="A71" t="s">
        <v>107</v>
      </c>
      <c r="B71" t="s">
        <v>301</v>
      </c>
      <c r="C71" t="s">
        <v>353</v>
      </c>
      <c r="D71">
        <v>0</v>
      </c>
      <c r="E71">
        <v>2</v>
      </c>
      <c r="F71">
        <v>0</v>
      </c>
    </row>
    <row r="72" spans="1:6">
      <c r="A72" t="s">
        <v>47</v>
      </c>
      <c r="B72" t="s">
        <v>270</v>
      </c>
      <c r="C72" t="s">
        <v>347</v>
      </c>
      <c r="D72">
        <v>0</v>
      </c>
      <c r="E72">
        <v>0</v>
      </c>
      <c r="F72">
        <v>0</v>
      </c>
    </row>
    <row r="73" spans="1:6">
      <c r="A73" t="s">
        <v>169</v>
      </c>
      <c r="B73" t="s">
        <v>184</v>
      </c>
      <c r="C73" t="s">
        <v>356</v>
      </c>
      <c r="D73">
        <v>0</v>
      </c>
      <c r="E73">
        <v>1</v>
      </c>
      <c r="F73">
        <v>0</v>
      </c>
    </row>
    <row r="74" spans="1:6">
      <c r="A74" t="s">
        <v>119</v>
      </c>
      <c r="B74" t="s">
        <v>244</v>
      </c>
      <c r="C74" t="s">
        <v>347</v>
      </c>
      <c r="D74">
        <v>0</v>
      </c>
      <c r="E74">
        <v>0</v>
      </c>
      <c r="F74">
        <v>0</v>
      </c>
    </row>
    <row r="75" spans="1:6">
      <c r="A75" t="s">
        <v>38</v>
      </c>
      <c r="B75" t="s">
        <v>197</v>
      </c>
      <c r="C75" t="s">
        <v>358</v>
      </c>
      <c r="D75">
        <v>0</v>
      </c>
      <c r="E75">
        <v>14</v>
      </c>
      <c r="F75">
        <v>0</v>
      </c>
    </row>
    <row r="76" spans="1:6">
      <c r="A76" t="s">
        <v>12</v>
      </c>
      <c r="B76" t="s">
        <v>248</v>
      </c>
      <c r="C76" t="s">
        <v>347</v>
      </c>
      <c r="D76">
        <v>0</v>
      </c>
      <c r="E76">
        <v>0</v>
      </c>
      <c r="F76">
        <v>0</v>
      </c>
    </row>
    <row r="77" spans="1:6">
      <c r="A77" t="s">
        <v>86</v>
      </c>
      <c r="B77" t="s">
        <v>202</v>
      </c>
      <c r="C77" t="s">
        <v>359</v>
      </c>
      <c r="D77">
        <v>4</v>
      </c>
      <c r="E77">
        <v>7</v>
      </c>
      <c r="F77">
        <v>0</v>
      </c>
    </row>
    <row r="78" spans="1:6">
      <c r="A78" t="s">
        <v>139</v>
      </c>
      <c r="B78" t="s">
        <v>218</v>
      </c>
      <c r="C78" t="s">
        <v>360</v>
      </c>
      <c r="D78">
        <v>2</v>
      </c>
      <c r="E78">
        <v>0</v>
      </c>
      <c r="F78">
        <v>0</v>
      </c>
    </row>
    <row r="79" spans="1:6">
      <c r="A79" t="s">
        <v>54</v>
      </c>
      <c r="B79" t="s">
        <v>230</v>
      </c>
      <c r="C79" t="s">
        <v>361</v>
      </c>
      <c r="D79">
        <v>3</v>
      </c>
      <c r="E79">
        <v>0</v>
      </c>
      <c r="F79">
        <v>0</v>
      </c>
    </row>
    <row r="80" spans="1:6">
      <c r="A80" t="s">
        <v>106</v>
      </c>
      <c r="B80" t="s">
        <v>267</v>
      </c>
      <c r="C80" t="s">
        <v>362</v>
      </c>
      <c r="D80">
        <v>3</v>
      </c>
      <c r="E80">
        <v>2</v>
      </c>
      <c r="F80">
        <v>0</v>
      </c>
    </row>
    <row r="81" spans="1:6">
      <c r="A81" t="s">
        <v>161</v>
      </c>
      <c r="B81" t="s">
        <v>225</v>
      </c>
      <c r="C81" t="s">
        <v>363</v>
      </c>
      <c r="D81">
        <v>7</v>
      </c>
      <c r="E81">
        <v>0</v>
      </c>
      <c r="F81">
        <v>0</v>
      </c>
    </row>
    <row r="82" spans="1:6">
      <c r="A82" t="s">
        <v>10</v>
      </c>
      <c r="B82" t="s">
        <v>272</v>
      </c>
      <c r="C82" t="s">
        <v>347</v>
      </c>
      <c r="D82">
        <v>0</v>
      </c>
      <c r="E82">
        <v>0</v>
      </c>
      <c r="F82">
        <v>0</v>
      </c>
    </row>
    <row r="83" spans="1:6">
      <c r="A83" t="s">
        <v>101</v>
      </c>
      <c r="B83" t="s">
        <v>246</v>
      </c>
      <c r="C83" t="s">
        <v>347</v>
      </c>
      <c r="D83">
        <v>0</v>
      </c>
      <c r="E83">
        <v>0</v>
      </c>
      <c r="F83">
        <v>0</v>
      </c>
    </row>
    <row r="84" spans="1:6">
      <c r="A84" t="s">
        <v>118</v>
      </c>
      <c r="B84" t="s">
        <v>183</v>
      </c>
      <c r="C84" t="s">
        <v>368</v>
      </c>
      <c r="D84">
        <v>0</v>
      </c>
      <c r="E84">
        <v>39</v>
      </c>
      <c r="F84">
        <v>0</v>
      </c>
    </row>
    <row r="85" spans="1:6">
      <c r="A85" t="s">
        <v>133</v>
      </c>
      <c r="B85" t="s">
        <v>184</v>
      </c>
      <c r="C85" t="s">
        <v>370</v>
      </c>
      <c r="D85">
        <v>2</v>
      </c>
      <c r="E85">
        <v>4</v>
      </c>
      <c r="F85">
        <v>0</v>
      </c>
    </row>
    <row r="86" spans="1:6">
      <c r="A86" t="s">
        <v>160</v>
      </c>
      <c r="B86" t="s">
        <v>281</v>
      </c>
      <c r="C86" t="s">
        <v>347</v>
      </c>
      <c r="D86">
        <v>0</v>
      </c>
      <c r="E86">
        <v>0</v>
      </c>
      <c r="F86">
        <v>0</v>
      </c>
    </row>
    <row r="87" spans="1:6">
      <c r="A87" t="s">
        <v>61</v>
      </c>
      <c r="B87" t="s">
        <v>294</v>
      </c>
      <c r="C87" t="s">
        <v>373</v>
      </c>
      <c r="D87">
        <v>55</v>
      </c>
      <c r="E87">
        <v>1</v>
      </c>
      <c r="F87">
        <v>0</v>
      </c>
    </row>
    <row r="88" spans="1:6">
      <c r="A88" t="s">
        <v>62</v>
      </c>
      <c r="B88" t="s">
        <v>217</v>
      </c>
      <c r="C88" t="s">
        <v>347</v>
      </c>
      <c r="D88">
        <v>0</v>
      </c>
      <c r="E88">
        <v>0</v>
      </c>
      <c r="F88">
        <v>0</v>
      </c>
    </row>
    <row r="89" spans="1:6">
      <c r="A89" t="s">
        <v>52</v>
      </c>
      <c r="B89" t="s">
        <v>257</v>
      </c>
      <c r="C89" t="s">
        <v>347</v>
      </c>
      <c r="D89">
        <v>0</v>
      </c>
      <c r="E89">
        <v>0</v>
      </c>
      <c r="F89">
        <v>0</v>
      </c>
    </row>
    <row r="90" spans="1:6">
      <c r="A90" t="s">
        <v>128</v>
      </c>
      <c r="B90" t="s">
        <v>278</v>
      </c>
      <c r="C90" t="s">
        <v>347</v>
      </c>
      <c r="D90">
        <v>0</v>
      </c>
      <c r="E90">
        <v>0</v>
      </c>
      <c r="F90">
        <v>0</v>
      </c>
    </row>
    <row r="91" spans="1:6">
      <c r="A91" t="s">
        <v>26</v>
      </c>
      <c r="B91" t="s">
        <v>205</v>
      </c>
      <c r="C91" t="s">
        <v>347</v>
      </c>
      <c r="D91">
        <v>0</v>
      </c>
      <c r="E91">
        <v>0</v>
      </c>
      <c r="F91">
        <v>0</v>
      </c>
    </row>
    <row r="92" spans="1:6">
      <c r="A92" t="s">
        <v>73</v>
      </c>
      <c r="B92" t="s">
        <v>290</v>
      </c>
      <c r="C92" t="s">
        <v>347</v>
      </c>
      <c r="D92">
        <v>0</v>
      </c>
      <c r="E92">
        <v>0</v>
      </c>
      <c r="F92">
        <v>0</v>
      </c>
    </row>
    <row r="93" spans="1:6">
      <c r="A93" t="s">
        <v>146</v>
      </c>
      <c r="B93" t="s">
        <v>296</v>
      </c>
      <c r="C93" t="s">
        <v>347</v>
      </c>
      <c r="D93">
        <v>0</v>
      </c>
      <c r="E93">
        <v>0</v>
      </c>
      <c r="F93">
        <v>0</v>
      </c>
    </row>
    <row r="94" spans="1:6">
      <c r="A94" t="s">
        <v>14</v>
      </c>
      <c r="B94" t="s">
        <v>239</v>
      </c>
      <c r="C94" t="s">
        <v>347</v>
      </c>
      <c r="D94">
        <v>0</v>
      </c>
      <c r="E94">
        <v>0</v>
      </c>
      <c r="F94">
        <v>0</v>
      </c>
    </row>
    <row r="95" spans="1:6">
      <c r="A95" t="s">
        <v>16</v>
      </c>
      <c r="B95" t="s">
        <v>184</v>
      </c>
      <c r="C95" t="s">
        <v>378</v>
      </c>
      <c r="D95">
        <v>9</v>
      </c>
      <c r="E95">
        <v>1</v>
      </c>
      <c r="F95">
        <v>0</v>
      </c>
    </row>
    <row r="96" spans="1:6">
      <c r="A96" t="s">
        <v>6</v>
      </c>
      <c r="B96" t="s">
        <v>185</v>
      </c>
      <c r="C96" t="s">
        <v>379</v>
      </c>
      <c r="D96">
        <v>8</v>
      </c>
      <c r="E96">
        <v>0</v>
      </c>
      <c r="F96">
        <v>0</v>
      </c>
    </row>
    <row r="97" spans="1:6">
      <c r="A97" t="s">
        <v>22</v>
      </c>
      <c r="B97" t="s">
        <v>198</v>
      </c>
      <c r="C97" t="s">
        <v>380</v>
      </c>
      <c r="D97">
        <v>0</v>
      </c>
      <c r="E97">
        <v>1</v>
      </c>
      <c r="F97">
        <v>0</v>
      </c>
    </row>
    <row r="98" spans="1:6">
      <c r="A98" t="s">
        <v>126</v>
      </c>
      <c r="B98" t="s">
        <v>236</v>
      </c>
      <c r="C98" t="s">
        <v>381</v>
      </c>
      <c r="D98">
        <v>0</v>
      </c>
      <c r="E98">
        <v>1</v>
      </c>
      <c r="F98">
        <v>0</v>
      </c>
    </row>
    <row r="99" spans="1:6">
      <c r="A99" t="s">
        <v>56</v>
      </c>
      <c r="B99" t="s">
        <v>184</v>
      </c>
      <c r="C99" t="s">
        <v>382</v>
      </c>
      <c r="D99">
        <v>1</v>
      </c>
      <c r="E99">
        <v>11</v>
      </c>
      <c r="F99">
        <v>0</v>
      </c>
    </row>
    <row r="100" spans="1:6">
      <c r="A100" t="s">
        <v>109</v>
      </c>
      <c r="B100" t="s">
        <v>181</v>
      </c>
      <c r="C100" t="s">
        <v>347</v>
      </c>
      <c r="D100">
        <v>0</v>
      </c>
      <c r="E100">
        <v>0</v>
      </c>
      <c r="F100">
        <v>0</v>
      </c>
    </row>
    <row r="101" spans="1:6">
      <c r="A101" t="s">
        <v>120</v>
      </c>
      <c r="B101" t="s">
        <v>274</v>
      </c>
      <c r="C101" t="s">
        <v>347</v>
      </c>
      <c r="D101">
        <v>0</v>
      </c>
      <c r="E101">
        <v>0</v>
      </c>
      <c r="F101">
        <v>0</v>
      </c>
    </row>
    <row r="102" spans="1:6">
      <c r="A102" t="s">
        <v>15</v>
      </c>
      <c r="B102" t="s">
        <v>240</v>
      </c>
      <c r="C102" t="s">
        <v>347</v>
      </c>
      <c r="D102">
        <v>0</v>
      </c>
      <c r="E102">
        <v>0</v>
      </c>
      <c r="F102">
        <v>0</v>
      </c>
    </row>
    <row r="103" spans="1:6">
      <c r="A103" t="s">
        <v>111</v>
      </c>
      <c r="B103" t="s">
        <v>232</v>
      </c>
      <c r="C103" t="s">
        <v>347</v>
      </c>
      <c r="D103">
        <v>0</v>
      </c>
      <c r="E103">
        <v>0</v>
      </c>
      <c r="F103">
        <v>0</v>
      </c>
    </row>
    <row r="104" spans="1:6">
      <c r="A104" t="s">
        <v>77</v>
      </c>
      <c r="B104" t="s">
        <v>186</v>
      </c>
      <c r="C104" t="s">
        <v>384</v>
      </c>
      <c r="D104">
        <v>0</v>
      </c>
      <c r="E104">
        <v>4</v>
      </c>
      <c r="F104">
        <v>0</v>
      </c>
    </row>
    <row r="105" spans="1:6">
      <c r="A105" t="s">
        <v>172</v>
      </c>
      <c r="B105" t="s">
        <v>254</v>
      </c>
      <c r="C105" t="s">
        <v>385</v>
      </c>
      <c r="D105">
        <v>5</v>
      </c>
      <c r="E105">
        <v>2</v>
      </c>
      <c r="F105">
        <v>0</v>
      </c>
    </row>
    <row r="106" spans="1:6">
      <c r="A106" t="s">
        <v>70</v>
      </c>
      <c r="B106" t="s">
        <v>188</v>
      </c>
      <c r="C106" t="s">
        <v>347</v>
      </c>
      <c r="D106">
        <v>0</v>
      </c>
      <c r="E106">
        <v>1</v>
      </c>
      <c r="F106">
        <v>0</v>
      </c>
    </row>
    <row r="107" spans="1:6">
      <c r="A107" t="s">
        <v>168</v>
      </c>
      <c r="B107" t="s">
        <v>192</v>
      </c>
      <c r="C107" t="s">
        <v>347</v>
      </c>
      <c r="D107">
        <v>0</v>
      </c>
      <c r="E107">
        <v>0</v>
      </c>
      <c r="F107">
        <v>0</v>
      </c>
    </row>
    <row r="108" spans="1:6">
      <c r="A108" t="s">
        <v>71</v>
      </c>
      <c r="B108" t="s">
        <v>293</v>
      </c>
      <c r="C108" t="s">
        <v>347</v>
      </c>
      <c r="D108">
        <v>0</v>
      </c>
      <c r="E108">
        <v>0</v>
      </c>
      <c r="F108">
        <v>0</v>
      </c>
    </row>
    <row r="109" spans="1:6">
      <c r="A109" t="s">
        <v>152</v>
      </c>
      <c r="B109" t="s">
        <v>180</v>
      </c>
      <c r="C109" t="s">
        <v>386</v>
      </c>
      <c r="D109">
        <v>1</v>
      </c>
      <c r="E109">
        <v>1</v>
      </c>
      <c r="F109">
        <v>0</v>
      </c>
    </row>
    <row r="110" spans="1:6">
      <c r="A110" t="s">
        <v>24</v>
      </c>
      <c r="B110" t="s">
        <v>280</v>
      </c>
      <c r="C110" t="s">
        <v>389</v>
      </c>
      <c r="D110">
        <v>4</v>
      </c>
      <c r="E110">
        <v>2</v>
      </c>
      <c r="F110">
        <v>0</v>
      </c>
    </row>
    <row r="111" spans="1:6">
      <c r="A111" t="s">
        <v>59</v>
      </c>
      <c r="B111" t="s">
        <v>252</v>
      </c>
      <c r="C111" t="s">
        <v>347</v>
      </c>
      <c r="D111">
        <v>0</v>
      </c>
      <c r="E111">
        <v>0</v>
      </c>
      <c r="F111">
        <v>0</v>
      </c>
    </row>
    <row r="112" spans="1:6">
      <c r="A112" t="s">
        <v>94</v>
      </c>
      <c r="B112" t="s">
        <v>212</v>
      </c>
      <c r="C112" t="s">
        <v>347</v>
      </c>
      <c r="D112">
        <v>0</v>
      </c>
      <c r="E112">
        <v>0</v>
      </c>
      <c r="F112">
        <v>0</v>
      </c>
    </row>
    <row r="113" spans="1:6">
      <c r="A113" t="s">
        <v>33</v>
      </c>
      <c r="B113" t="s">
        <v>261</v>
      </c>
      <c r="C113" t="s">
        <v>347</v>
      </c>
      <c r="D113">
        <v>0</v>
      </c>
      <c r="E113">
        <v>0</v>
      </c>
      <c r="F113">
        <v>0</v>
      </c>
    </row>
    <row r="114" spans="1:6">
      <c r="A114" t="s">
        <v>46</v>
      </c>
      <c r="B114" t="s">
        <v>184</v>
      </c>
      <c r="C114" t="s">
        <v>392</v>
      </c>
      <c r="D114">
        <v>1</v>
      </c>
      <c r="E114">
        <v>1</v>
      </c>
      <c r="F114">
        <v>0</v>
      </c>
    </row>
    <row r="115" spans="1:6">
      <c r="A115" t="s">
        <v>31</v>
      </c>
      <c r="B115" t="s">
        <v>179</v>
      </c>
      <c r="C115" t="s">
        <v>347</v>
      </c>
      <c r="D115">
        <v>0</v>
      </c>
      <c r="E115">
        <v>1</v>
      </c>
      <c r="F115">
        <v>0</v>
      </c>
    </row>
    <row r="116" spans="1:6">
      <c r="A116" t="s">
        <v>162</v>
      </c>
      <c r="B116" t="s">
        <v>266</v>
      </c>
      <c r="C116" t="s">
        <v>347</v>
      </c>
      <c r="D116">
        <v>0</v>
      </c>
      <c r="E116">
        <v>0</v>
      </c>
      <c r="F116">
        <v>0</v>
      </c>
    </row>
    <row r="117" spans="1:6">
      <c r="A117" t="s">
        <v>49</v>
      </c>
      <c r="B117" t="s">
        <v>221</v>
      </c>
      <c r="C117" t="s">
        <v>394</v>
      </c>
      <c r="D117">
        <v>0</v>
      </c>
      <c r="E117">
        <v>1</v>
      </c>
      <c r="F117">
        <v>0</v>
      </c>
    </row>
    <row r="118" spans="1:6">
      <c r="A118" t="s">
        <v>117</v>
      </c>
      <c r="B118" t="s">
        <v>259</v>
      </c>
      <c r="C118" t="s">
        <v>347</v>
      </c>
      <c r="D118">
        <v>0</v>
      </c>
      <c r="E118">
        <v>0</v>
      </c>
      <c r="F118">
        <v>0</v>
      </c>
    </row>
    <row r="119" spans="1:6">
      <c r="A119" t="s">
        <v>143</v>
      </c>
      <c r="B119" t="s">
        <v>307</v>
      </c>
      <c r="C119" t="s">
        <v>347</v>
      </c>
      <c r="D119">
        <v>0</v>
      </c>
      <c r="E119">
        <v>0</v>
      </c>
      <c r="F119">
        <v>0</v>
      </c>
    </row>
    <row r="120" spans="1:6">
      <c r="A120" t="s">
        <v>17</v>
      </c>
      <c r="B120" t="s">
        <v>184</v>
      </c>
      <c r="C120" t="s">
        <v>395</v>
      </c>
      <c r="D120">
        <v>1</v>
      </c>
      <c r="E120">
        <v>12</v>
      </c>
      <c r="F120">
        <v>0</v>
      </c>
    </row>
    <row r="121" spans="1:6">
      <c r="A121" t="s">
        <v>85</v>
      </c>
      <c r="B121" t="s">
        <v>201</v>
      </c>
      <c r="C121" t="s">
        <v>396</v>
      </c>
      <c r="D121">
        <v>27</v>
      </c>
      <c r="E121">
        <v>0</v>
      </c>
      <c r="F121">
        <v>0</v>
      </c>
    </row>
    <row r="122" spans="1:6">
      <c r="A122" t="s">
        <v>155</v>
      </c>
      <c r="B122" t="s">
        <v>224</v>
      </c>
      <c r="C122" t="s">
        <v>347</v>
      </c>
      <c r="D122">
        <v>0</v>
      </c>
      <c r="E122">
        <v>0</v>
      </c>
      <c r="F122">
        <v>0</v>
      </c>
    </row>
    <row r="123" spans="1:6">
      <c r="A123" t="s">
        <v>123</v>
      </c>
      <c r="B123" t="s">
        <v>279</v>
      </c>
      <c r="C123" t="s">
        <v>347</v>
      </c>
      <c r="D123">
        <v>0</v>
      </c>
      <c r="E123">
        <v>0</v>
      </c>
      <c r="F123">
        <v>0</v>
      </c>
    </row>
    <row r="124" spans="1:6">
      <c r="A124" t="s">
        <v>95</v>
      </c>
      <c r="B124" t="s">
        <v>306</v>
      </c>
      <c r="C124" t="s">
        <v>347</v>
      </c>
      <c r="D124">
        <v>7</v>
      </c>
      <c r="E124">
        <v>1</v>
      </c>
      <c r="F124">
        <v>0</v>
      </c>
    </row>
    <row r="125" spans="1:6">
      <c r="A125" t="s">
        <v>134</v>
      </c>
      <c r="B125" t="s">
        <v>184</v>
      </c>
      <c r="C125" t="s">
        <v>401</v>
      </c>
      <c r="D125">
        <v>0</v>
      </c>
      <c r="E125">
        <v>7</v>
      </c>
      <c r="F125">
        <v>0</v>
      </c>
    </row>
    <row r="126" spans="1:6">
      <c r="A126" t="s">
        <v>64</v>
      </c>
      <c r="B126" t="s">
        <v>184</v>
      </c>
      <c r="C126" t="s">
        <v>402</v>
      </c>
      <c r="D126">
        <v>0</v>
      </c>
      <c r="E126">
        <v>20</v>
      </c>
      <c r="F126">
        <v>0</v>
      </c>
    </row>
    <row r="127" spans="1:6">
      <c r="A127" t="s">
        <v>48</v>
      </c>
      <c r="B127" t="s">
        <v>243</v>
      </c>
      <c r="C127" t="s">
        <v>347</v>
      </c>
      <c r="D127">
        <v>0</v>
      </c>
      <c r="E127">
        <v>1</v>
      </c>
      <c r="F127">
        <v>0</v>
      </c>
    </row>
    <row r="128" spans="1:6">
      <c r="A128" t="s">
        <v>99</v>
      </c>
      <c r="B128" t="s">
        <v>260</v>
      </c>
      <c r="C128" t="s">
        <v>347</v>
      </c>
      <c r="D128">
        <v>0</v>
      </c>
      <c r="E128">
        <v>0</v>
      </c>
      <c r="F128">
        <v>0</v>
      </c>
    </row>
    <row r="129" spans="1:6">
      <c r="A129" t="s">
        <v>34</v>
      </c>
      <c r="B129" t="s">
        <v>268</v>
      </c>
      <c r="C129" t="s">
        <v>347</v>
      </c>
      <c r="D129">
        <v>0</v>
      </c>
      <c r="E129">
        <v>0</v>
      </c>
      <c r="F129">
        <v>0</v>
      </c>
    </row>
    <row r="130" spans="1:6">
      <c r="A130" t="s">
        <v>55</v>
      </c>
      <c r="B130" t="s">
        <v>269</v>
      </c>
      <c r="C130" t="s">
        <v>406</v>
      </c>
      <c r="D130">
        <v>0</v>
      </c>
      <c r="E130">
        <v>13</v>
      </c>
      <c r="F130">
        <v>0</v>
      </c>
    </row>
    <row r="131" spans="1:6">
      <c r="A131" t="s">
        <v>110</v>
      </c>
      <c r="B131" t="s">
        <v>263</v>
      </c>
      <c r="C131" t="s">
        <v>407</v>
      </c>
      <c r="D131">
        <v>0</v>
      </c>
      <c r="E131">
        <v>18</v>
      </c>
      <c r="F131">
        <v>0</v>
      </c>
    </row>
    <row r="132" spans="1:6">
      <c r="A132" t="s">
        <v>150</v>
      </c>
      <c r="B132" t="s">
        <v>207</v>
      </c>
      <c r="C132" t="s">
        <v>347</v>
      </c>
      <c r="D132">
        <v>0</v>
      </c>
      <c r="E132">
        <v>1</v>
      </c>
      <c r="F132">
        <v>0</v>
      </c>
    </row>
    <row r="133" spans="1:6">
      <c r="A133" t="s">
        <v>167</v>
      </c>
      <c r="B133" t="s">
        <v>226</v>
      </c>
      <c r="C133" t="s">
        <v>347</v>
      </c>
      <c r="D133">
        <v>0</v>
      </c>
      <c r="E133">
        <v>0</v>
      </c>
      <c r="F133">
        <v>0</v>
      </c>
    </row>
    <row r="134" spans="1:6">
      <c r="A134" t="s">
        <v>173</v>
      </c>
      <c r="B134" t="s">
        <v>204</v>
      </c>
      <c r="C134" t="s">
        <v>383</v>
      </c>
      <c r="D134">
        <v>0</v>
      </c>
      <c r="E134">
        <v>21</v>
      </c>
      <c r="F134">
        <v>0</v>
      </c>
    </row>
    <row r="135" spans="1:6">
      <c r="A135" t="s">
        <v>121</v>
      </c>
      <c r="B135" t="s">
        <v>191</v>
      </c>
      <c r="C135" t="s">
        <v>347</v>
      </c>
      <c r="D135">
        <v>0</v>
      </c>
      <c r="E135">
        <v>0</v>
      </c>
      <c r="F135">
        <v>0</v>
      </c>
    </row>
    <row r="136" spans="1:6">
      <c r="A136" t="s">
        <v>42</v>
      </c>
      <c r="B136" t="s">
        <v>303</v>
      </c>
      <c r="C136" t="s">
        <v>347</v>
      </c>
      <c r="D136">
        <v>0</v>
      </c>
      <c r="E136">
        <v>0</v>
      </c>
      <c r="F136">
        <v>0</v>
      </c>
    </row>
    <row r="137" spans="1:6">
      <c r="A137" t="s">
        <v>3</v>
      </c>
      <c r="B137" t="s">
        <v>235</v>
      </c>
      <c r="C137" t="s">
        <v>409</v>
      </c>
      <c r="D137">
        <v>6</v>
      </c>
      <c r="E137">
        <v>0</v>
      </c>
      <c r="F137">
        <v>0</v>
      </c>
    </row>
    <row r="138" spans="1:6">
      <c r="A138" t="s">
        <v>108</v>
      </c>
      <c r="B138" t="s">
        <v>209</v>
      </c>
      <c r="C138" t="s">
        <v>411</v>
      </c>
      <c r="D138">
        <v>0</v>
      </c>
      <c r="E138">
        <v>5</v>
      </c>
      <c r="F138">
        <v>0</v>
      </c>
    </row>
    <row r="139" spans="1:6">
      <c r="A139" t="s">
        <v>9</v>
      </c>
      <c r="B139" t="s">
        <v>277</v>
      </c>
      <c r="C139" t="s">
        <v>347</v>
      </c>
      <c r="D139">
        <v>0</v>
      </c>
      <c r="E139">
        <v>0</v>
      </c>
      <c r="F139">
        <v>0</v>
      </c>
    </row>
    <row r="140" spans="1:6">
      <c r="A140" t="s">
        <v>51</v>
      </c>
      <c r="B140" t="s">
        <v>302</v>
      </c>
      <c r="C140" t="s">
        <v>347</v>
      </c>
      <c r="D140">
        <v>5</v>
      </c>
      <c r="E140">
        <v>0</v>
      </c>
      <c r="F140">
        <v>0</v>
      </c>
    </row>
    <row r="141" spans="1:6">
      <c r="A141" t="s">
        <v>50</v>
      </c>
      <c r="B141" t="s">
        <v>215</v>
      </c>
      <c r="C141" t="s">
        <v>347</v>
      </c>
      <c r="D141">
        <v>0</v>
      </c>
      <c r="E141">
        <v>0</v>
      </c>
      <c r="F141">
        <v>0</v>
      </c>
    </row>
    <row r="142" spans="1:6">
      <c r="A142" t="s">
        <v>127</v>
      </c>
      <c r="B142" t="s">
        <v>253</v>
      </c>
      <c r="C142" t="s">
        <v>347</v>
      </c>
      <c r="D142">
        <v>0</v>
      </c>
      <c r="E142">
        <v>0</v>
      </c>
      <c r="F142">
        <v>0</v>
      </c>
    </row>
    <row r="143" spans="1:6">
      <c r="A143" t="s">
        <v>148</v>
      </c>
      <c r="B143" t="s">
        <v>288</v>
      </c>
      <c r="C143" t="s">
        <v>412</v>
      </c>
      <c r="D143">
        <v>0</v>
      </c>
      <c r="E143">
        <v>27</v>
      </c>
      <c r="F143">
        <v>0</v>
      </c>
    </row>
    <row r="144" spans="1:6">
      <c r="A144" t="s">
        <v>136</v>
      </c>
      <c r="B144" t="s">
        <v>182</v>
      </c>
      <c r="C144" t="s">
        <v>413</v>
      </c>
      <c r="D144">
        <v>13</v>
      </c>
      <c r="E144">
        <v>0</v>
      </c>
      <c r="F144">
        <v>0</v>
      </c>
    </row>
    <row r="145" spans="1:6">
      <c r="A145" t="s">
        <v>163</v>
      </c>
      <c r="B145" t="s">
        <v>184</v>
      </c>
      <c r="C145" t="s">
        <v>415</v>
      </c>
      <c r="D145">
        <v>0</v>
      </c>
      <c r="E145">
        <v>34</v>
      </c>
      <c r="F145">
        <v>0</v>
      </c>
    </row>
    <row r="146" spans="1:6">
      <c r="A146" t="s">
        <v>104</v>
      </c>
      <c r="B146" t="s">
        <v>184</v>
      </c>
      <c r="C146" t="s">
        <v>416</v>
      </c>
      <c r="D146">
        <v>0</v>
      </c>
      <c r="E146">
        <v>5</v>
      </c>
      <c r="F146">
        <v>0</v>
      </c>
    </row>
    <row r="147" spans="1:6">
      <c r="A147" t="s">
        <v>170</v>
      </c>
      <c r="B147" t="s">
        <v>273</v>
      </c>
      <c r="C147" t="s">
        <v>347</v>
      </c>
      <c r="D147">
        <v>0</v>
      </c>
      <c r="E147">
        <v>0</v>
      </c>
      <c r="F147">
        <v>0</v>
      </c>
    </row>
    <row r="148" spans="1:6">
      <c r="A148" t="s">
        <v>41</v>
      </c>
      <c r="B148" t="s">
        <v>199</v>
      </c>
      <c r="C148" t="s">
        <v>422</v>
      </c>
      <c r="D148">
        <v>0</v>
      </c>
      <c r="E148">
        <v>18</v>
      </c>
      <c r="F148">
        <v>0</v>
      </c>
    </row>
    <row r="149" spans="1:6">
      <c r="A149" t="s">
        <v>57</v>
      </c>
      <c r="B149" t="s">
        <v>222</v>
      </c>
      <c r="C149" t="s">
        <v>425</v>
      </c>
      <c r="D149">
        <v>1</v>
      </c>
      <c r="E149">
        <v>3</v>
      </c>
      <c r="F149">
        <v>0</v>
      </c>
    </row>
    <row r="150" spans="1:6">
      <c r="A150" t="s">
        <v>157</v>
      </c>
      <c r="B150" t="s">
        <v>255</v>
      </c>
      <c r="C150" t="s">
        <v>426</v>
      </c>
      <c r="D150">
        <v>4</v>
      </c>
      <c r="E150">
        <v>0</v>
      </c>
      <c r="F150">
        <v>0</v>
      </c>
    </row>
    <row r="151" spans="1:6">
      <c r="A151" t="s">
        <v>68</v>
      </c>
      <c r="B151" t="s">
        <v>184</v>
      </c>
      <c r="C151" t="s">
        <v>385</v>
      </c>
      <c r="D151">
        <v>10</v>
      </c>
      <c r="E151">
        <v>8</v>
      </c>
      <c r="F151">
        <v>0</v>
      </c>
    </row>
    <row r="152" spans="1:6">
      <c r="A152" t="s">
        <v>156</v>
      </c>
      <c r="B152" t="s">
        <v>256</v>
      </c>
      <c r="C152" t="s">
        <v>428</v>
      </c>
      <c r="D152">
        <v>2</v>
      </c>
      <c r="E152">
        <v>5</v>
      </c>
      <c r="F152">
        <v>0</v>
      </c>
    </row>
    <row r="153" spans="1:6">
      <c r="A153" t="s">
        <v>102</v>
      </c>
      <c r="B153" t="s">
        <v>282</v>
      </c>
      <c r="C153" t="s">
        <v>347</v>
      </c>
      <c r="D153">
        <v>0</v>
      </c>
      <c r="E153">
        <v>0</v>
      </c>
      <c r="F153">
        <v>0</v>
      </c>
    </row>
    <row r="154" spans="1:6">
      <c r="A154" t="s">
        <v>114</v>
      </c>
      <c r="B154" t="s">
        <v>219</v>
      </c>
      <c r="C154" t="s">
        <v>347</v>
      </c>
      <c r="D154">
        <v>0</v>
      </c>
      <c r="E154">
        <v>0</v>
      </c>
      <c r="F154">
        <v>0</v>
      </c>
    </row>
    <row r="155" spans="1:6">
      <c r="A155" t="s">
        <v>98</v>
      </c>
      <c r="B155" t="s">
        <v>238</v>
      </c>
      <c r="C155" t="s">
        <v>347</v>
      </c>
      <c r="D155">
        <v>0</v>
      </c>
      <c r="E155">
        <v>0</v>
      </c>
      <c r="F155">
        <v>0</v>
      </c>
    </row>
    <row r="156" spans="1:6">
      <c r="A156" t="s">
        <v>74</v>
      </c>
      <c r="B156" t="s">
        <v>284</v>
      </c>
      <c r="C156" t="s">
        <v>347</v>
      </c>
      <c r="D156">
        <v>0</v>
      </c>
      <c r="E156">
        <v>0</v>
      </c>
      <c r="F156">
        <v>0</v>
      </c>
    </row>
    <row r="157" spans="1:6">
      <c r="A157" t="s">
        <v>166</v>
      </c>
      <c r="B157" t="s">
        <v>184</v>
      </c>
      <c r="C157" t="s">
        <v>430</v>
      </c>
      <c r="D157">
        <v>2</v>
      </c>
      <c r="E157">
        <v>2</v>
      </c>
      <c r="F157">
        <v>0</v>
      </c>
    </row>
    <row r="158" spans="1:6">
      <c r="A158" t="s">
        <v>29</v>
      </c>
      <c r="B158" t="s">
        <v>304</v>
      </c>
      <c r="C158" t="s">
        <v>347</v>
      </c>
      <c r="D158">
        <v>0</v>
      </c>
      <c r="E158">
        <v>0</v>
      </c>
      <c r="F158">
        <v>0</v>
      </c>
    </row>
    <row r="159" spans="1:6">
      <c r="A159" t="s">
        <v>140</v>
      </c>
      <c r="B159" t="s">
        <v>250</v>
      </c>
      <c r="C159" t="s">
        <v>347</v>
      </c>
      <c r="D159">
        <v>0</v>
      </c>
      <c r="E159">
        <v>0</v>
      </c>
      <c r="F159">
        <v>0</v>
      </c>
    </row>
    <row r="160" spans="1:6">
      <c r="A160" t="s">
        <v>84</v>
      </c>
      <c r="B160" t="s">
        <v>249</v>
      </c>
      <c r="C160" t="s">
        <v>347</v>
      </c>
      <c r="D160">
        <v>0</v>
      </c>
      <c r="E160">
        <v>0</v>
      </c>
      <c r="F160">
        <v>0</v>
      </c>
    </row>
    <row r="161" spans="1:6">
      <c r="A161" t="s">
        <v>97</v>
      </c>
      <c r="B161" t="s">
        <v>213</v>
      </c>
      <c r="C161" t="s">
        <v>347</v>
      </c>
      <c r="D161">
        <v>0</v>
      </c>
      <c r="E161">
        <v>0</v>
      </c>
      <c r="F161">
        <v>0</v>
      </c>
    </row>
    <row r="162" spans="1:6">
      <c r="A162" t="s">
        <v>40</v>
      </c>
      <c r="B162" t="s">
        <v>208</v>
      </c>
      <c r="C162" t="s">
        <v>434</v>
      </c>
      <c r="D162">
        <v>0</v>
      </c>
      <c r="E162">
        <v>8</v>
      </c>
      <c r="F162">
        <v>0</v>
      </c>
    </row>
    <row r="163" spans="1:6">
      <c r="A163" t="s">
        <v>75</v>
      </c>
      <c r="B163" t="s">
        <v>194</v>
      </c>
      <c r="C163" t="s">
        <v>347</v>
      </c>
      <c r="D163">
        <v>0</v>
      </c>
      <c r="E163">
        <v>0</v>
      </c>
      <c r="F163">
        <v>0</v>
      </c>
    </row>
    <row r="164" spans="1:6">
      <c r="A164" t="s">
        <v>58</v>
      </c>
      <c r="B164" t="s">
        <v>234</v>
      </c>
      <c r="C164" t="s">
        <v>423</v>
      </c>
      <c r="D164">
        <v>10</v>
      </c>
      <c r="E164">
        <v>0</v>
      </c>
      <c r="F164">
        <v>0</v>
      </c>
    </row>
    <row r="165" spans="1:6">
      <c r="A165" t="s">
        <v>67</v>
      </c>
      <c r="B165" t="s">
        <v>298</v>
      </c>
      <c r="C165" t="s">
        <v>438</v>
      </c>
      <c r="D165">
        <v>1</v>
      </c>
      <c r="E165">
        <v>1</v>
      </c>
      <c r="F165">
        <v>0</v>
      </c>
    </row>
    <row r="166" spans="1:6">
      <c r="A166" t="s">
        <v>81</v>
      </c>
      <c r="B166" t="s">
        <v>247</v>
      </c>
      <c r="C166" t="s">
        <v>440</v>
      </c>
      <c r="D166">
        <v>0</v>
      </c>
      <c r="E166">
        <v>5</v>
      </c>
      <c r="F166">
        <v>0</v>
      </c>
    </row>
    <row r="167" spans="1:6">
      <c r="A167" t="s">
        <v>113</v>
      </c>
      <c r="B167" t="s">
        <v>241</v>
      </c>
      <c r="C167" t="s">
        <v>442</v>
      </c>
      <c r="D167">
        <v>8</v>
      </c>
      <c r="E167">
        <v>23</v>
      </c>
      <c r="F167">
        <v>0</v>
      </c>
    </row>
    <row r="168" spans="1:6">
      <c r="A168" t="s">
        <v>20</v>
      </c>
      <c r="B168" t="s">
        <v>251</v>
      </c>
      <c r="C168" t="s">
        <v>445</v>
      </c>
      <c r="D168">
        <v>16</v>
      </c>
      <c r="E168">
        <v>1</v>
      </c>
      <c r="F168">
        <v>0</v>
      </c>
    </row>
    <row r="169" spans="1:6">
      <c r="A169" t="s">
        <v>25</v>
      </c>
      <c r="B169" t="s">
        <v>200</v>
      </c>
      <c r="C169" t="s">
        <v>347</v>
      </c>
      <c r="D169">
        <v>0</v>
      </c>
      <c r="E169">
        <v>0</v>
      </c>
      <c r="F169">
        <v>0</v>
      </c>
    </row>
    <row r="170" spans="1:6">
      <c r="A170" t="s">
        <v>103</v>
      </c>
      <c r="B170" t="s">
        <v>216</v>
      </c>
      <c r="C170" t="s">
        <v>347</v>
      </c>
      <c r="D170">
        <v>0</v>
      </c>
      <c r="E170">
        <v>0</v>
      </c>
      <c r="F170">
        <v>0</v>
      </c>
    </row>
    <row r="171" spans="1:6">
      <c r="A171" t="s">
        <v>37</v>
      </c>
      <c r="B171" t="s">
        <v>237</v>
      </c>
      <c r="C171" t="s">
        <v>447</v>
      </c>
      <c r="D171">
        <v>0</v>
      </c>
      <c r="E171">
        <v>1</v>
      </c>
      <c r="F171">
        <v>0</v>
      </c>
    </row>
    <row r="172" spans="1:6">
      <c r="A172" t="s">
        <v>96</v>
      </c>
      <c r="B172" t="s">
        <v>275</v>
      </c>
      <c r="C172" t="s">
        <v>448</v>
      </c>
      <c r="D172">
        <v>23</v>
      </c>
      <c r="E172">
        <v>4</v>
      </c>
      <c r="F172">
        <v>0</v>
      </c>
    </row>
  </sheetData>
  <sortState xmlns:xlrd2="http://schemas.microsoft.com/office/spreadsheetml/2017/richdata2" ref="A2:F173">
    <sortCondition descending="1" ref="F2:F173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Werkbladen</vt:lpstr>
      </vt:variant>
      <vt:variant>
        <vt:i4>4</vt:i4>
      </vt:variant>
    </vt:vector>
  </HeadingPairs>
  <TitlesOfParts>
    <vt:vector size="4" baseType="lpstr">
      <vt:lpstr>Overview</vt:lpstr>
      <vt:lpstr>grounded intersection</vt:lpstr>
      <vt:lpstr>Entity mentions</vt:lpstr>
      <vt:lpstr>Shared Framing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Vossen, P.T.J.M. (Piek)</dc:creator>
  <cp:lastModifiedBy>Vossen, P.T.J.M. (Piek)</cp:lastModifiedBy>
  <dcterms:created xsi:type="dcterms:W3CDTF">2025-10-07T14:45:15Z</dcterms:created>
  <dcterms:modified xsi:type="dcterms:W3CDTF">2025-10-09T12:50:56Z</dcterms:modified>
</cp:coreProperties>
</file>